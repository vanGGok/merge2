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_defaults" sheetId="1" r:id="rId5"/>
    <sheet state="visible" name="_game_defaults" sheetId="2" r:id="rId6"/>
    <sheet state="visible" name="m2_fields" sheetId="3" r:id="rId7"/>
    <sheet state="visible" name="m2_stage_tasks" sheetId="4" r:id="rId8"/>
    <sheet state="visible" name="m2_start_fields" sheetId="5" r:id="rId9"/>
    <sheet state="visible" name="m2_fields_items" sheetId="6" r:id="rId10"/>
    <sheet state="visible" name="m2_items" sheetId="7" r:id="rId11"/>
    <sheet state="visible" name="m2_pass" sheetId="8" r:id="rId12"/>
    <sheet state="visible" name="рабочая страницаm2_rewards" sheetId="9" r:id="rId13"/>
    <sheet state="visible" name="Расчеты" sheetId="10" r:id="rId14"/>
  </sheets>
  <definedNames>
    <definedName localSheetId="1" name="bank_icons_data">'_game_defaults'!$G$3:$I$15</definedName>
    <definedName localSheetId="1" name="pack_special_type">'_game_defaults'!$A$3:$A$1001</definedName>
    <definedName localSheetId="1" name="ads_placements">'_game_defaults'!$V$3:$V$1001</definedName>
    <definedName localSheetId="1" name="rewards">'_game_defaults'!$B$3:$B$1001</definedName>
    <definedName localSheetId="1" name="sale_infinity_prices">'_game_defaults'!$U$3:$U$1001</definedName>
    <definedName localSheetId="1" name="bank_icons_list">'_game_defaults'!$G$3:$G$15</definedName>
    <definedName localSheetId="1" name="rewards_icons">'_game_defaults'!$B$3:$D$1001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tc={24c9bc96-ace9-4e53-9d1e-956ea1247695}</author>
    <author>tc={a497d11a-a727-4b75-975f-af14e8ce6a8b}</author>
    <author>tc={d502a090-6385-47b0-8e56-c437c226b771}</author>
  </authors>
  <commentList>
    <comment authorId="0" xr:uid="{24c9bc96-ace9-4e53-9d1e-956ea12476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спавн открывается после discover
</t>
      </text>
    </comment>
    <comment authorId="1" xr:uid="{a497d11a-a727-4b75-975f-af14e8ce6a8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нет ваншот механики, уровень можно пройти с любой попытки
</t>
      </text>
    </comment>
    <comment authorId="2" xr:uid="{d502a090-6385-47b0-8e56-c437c226b7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всегда на всех этапах спавнится один предмет первого тира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tc={47c01d67-d5f2-4e6e-952c-781189db70ce}</author>
  </authors>
  <commentList>
    <comment authorId="0" xr:uid="{47c01d67-d5f2-4e6e-952c-781189db70ce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6 этапе, поле 5 на 5, собрали предмет 7 тира, выполнили 6 таск, получили награду и перешли к таску 7, этап 7 с новым полем 5 на 5 и нам нужно собрать предмет 8 тира
</t>
      </text>
    </comment>
  </commentList>
</comments>
</file>

<file path=xl/sharedStrings.xml><?xml version="1.0" encoding="utf-8"?>
<sst xmlns="http://schemas.openxmlformats.org/spreadsheetml/2006/main" count="499" uniqueCount="192">
  <si>
    <t>event_id</t>
  </si>
  <si>
    <t>EDIT HERE ---&gt;</t>
  </si>
  <si>
    <t>id</t>
  </si>
  <si>
    <t>Arrows Game Defaults</t>
  </si>
  <si>
    <t>skin</t>
  </si>
  <si>
    <t>started_currency</t>
  </si>
  <si>
    <t>spawn_price</t>
  </si>
  <si>
    <t>currency_easy_level</t>
  </si>
  <si>
    <t>columns</t>
  </si>
  <si>
    <t>currency_hard__level</t>
  </si>
  <si>
    <t>rows</t>
  </si>
  <si>
    <t>stage_id</t>
  </si>
  <si>
    <t>currency_superhard_level</t>
  </si>
  <si>
    <t>new_field</t>
  </si>
  <si>
    <t>field_id</t>
  </si>
  <si>
    <t>type</t>
  </si>
  <si>
    <t>target_item_id</t>
  </si>
  <si>
    <t>item1</t>
  </si>
  <si>
    <t>cnt1</t>
  </si>
  <si>
    <t>item2</t>
  </si>
  <si>
    <t>merge_pirates</t>
  </si>
  <si>
    <t>cnt2</t>
  </si>
  <si>
    <t>merge_pirates_field_5_5</t>
  </si>
  <si>
    <t>pirates</t>
  </si>
  <si>
    <t>item3</t>
  </si>
  <si>
    <t>cnt3</t>
  </si>
  <si>
    <t>merge_pirates_field_5_6</t>
  </si>
  <si>
    <t>item4</t>
  </si>
  <si>
    <t>merge_pirates_field_6_6</t>
  </si>
  <si>
    <t>cnt4</t>
  </si>
  <si>
    <t>item5</t>
  </si>
  <si>
    <t>cnt5</t>
  </si>
  <si>
    <t>item6</t>
  </si>
  <si>
    <t>cnt6</t>
  </si>
  <si>
    <t>merge_pirates_stage_1_task_1</t>
  </si>
  <si>
    <t>merge_pirates_stage_1</t>
  </si>
  <si>
    <t>discover_item</t>
  </si>
  <si>
    <t>item_t2</t>
  </si>
  <si>
    <t>pack_special_type</t>
  </si>
  <si>
    <t>items</t>
  </si>
  <si>
    <t>payer_groups</t>
  </si>
  <si>
    <t>bank_icons</t>
  </si>
  <si>
    <t>offer_type</t>
  </si>
  <si>
    <t>priority</t>
  </si>
  <si>
    <t>reset</t>
  </si>
  <si>
    <t>infinity_sales_boxType</t>
  </si>
  <si>
    <t>skin_type</t>
  </si>
  <si>
    <t>offer_system</t>
  </si>
  <si>
    <t>sale_infinity_prices</t>
  </si>
  <si>
    <t>ad_placements</t>
  </si>
  <si>
    <t>merge_pirates_stage_1_task_2</t>
  </si>
  <si>
    <t>merge_pirates_stage_2</t>
  </si>
  <si>
    <t>item_t3</t>
  </si>
  <si>
    <t>merge_pirates_stage_1_task_3</t>
  </si>
  <si>
    <t>merge_pirates_stage_3</t>
  </si>
  <si>
    <t>item_t4</t>
  </si>
  <si>
    <t>merge_pirates_stage_1_task_4</t>
  </si>
  <si>
    <t>merge_pirates_stage_4</t>
  </si>
  <si>
    <t>item_t5</t>
  </si>
  <si>
    <t>merge_pirates_stage_1_task_5</t>
  </si>
  <si>
    <t>merge_pirates_stage_5</t>
  </si>
  <si>
    <t>item_t6</t>
  </si>
  <si>
    <t>merge_pirates_stage_1_task_6</t>
  </si>
  <si>
    <t>merge_pirates_stage_6</t>
  </si>
  <si>
    <t>item_t7</t>
  </si>
  <si>
    <t>booster_bulb</t>
  </si>
  <si>
    <t>merge_pirates_stage_1_task_7</t>
  </si>
  <si>
    <t>merge_pirates_stage_7</t>
  </si>
  <si>
    <t>item_t8</t>
  </si>
  <si>
    <t>booster_eraser</t>
  </si>
  <si>
    <t>merge_pirates_stage_1_task_8</t>
  </si>
  <si>
    <t>merge_pirates_stage_8</t>
  </si>
  <si>
    <t>item_t9</t>
  </si>
  <si>
    <t>booster_ruler</t>
  </si>
  <si>
    <t>merge_pirates_stage_1_task_9</t>
  </si>
  <si>
    <t>merge_pirates_stage_9</t>
  </si>
  <si>
    <t>item_t10</t>
  </si>
  <si>
    <t>merge_pirates_stage_1_task_10</t>
  </si>
  <si>
    <t>merge_pirates_stage_10</t>
  </si>
  <si>
    <t>item_t11</t>
  </si>
  <si>
    <t>gold</t>
  </si>
  <si>
    <t>merge_pirates_stage_1_task_11</t>
  </si>
  <si>
    <t>merge_pirates_stage_11</t>
  </si>
  <si>
    <t>item_t12</t>
  </si>
  <si>
    <t>booster_wand</t>
  </si>
  <si>
    <t>infinity_life_5m</t>
  </si>
  <si>
    <t>free</t>
  </si>
  <si>
    <t>ads_pack</t>
  </si>
  <si>
    <t>non_payer-&gt;middle</t>
  </si>
  <si>
    <t>middle</t>
  </si>
  <si>
    <t>payer</t>
  </si>
  <si>
    <t>&lt;=30</t>
  </si>
  <si>
    <t>&gt;30</t>
  </si>
  <si>
    <t>5х5</t>
  </si>
  <si>
    <t>box_item_t1</t>
  </si>
  <si>
    <t>box_item_t6</t>
  </si>
  <si>
    <t>box_item_t2</t>
  </si>
  <si>
    <t>item_t1_webbed</t>
  </si>
  <si>
    <t>item_t2_webbed</t>
  </si>
  <si>
    <t>5х6</t>
  </si>
  <si>
    <t>box_item_t7</t>
  </si>
  <si>
    <t>box_item_t4</t>
  </si>
  <si>
    <t>6х6</t>
  </si>
  <si>
    <t>box_item_t8</t>
  </si>
  <si>
    <t>item_t4_webbed</t>
  </si>
  <si>
    <t>box_item_t3</t>
  </si>
  <si>
    <t>contained_item</t>
  </si>
  <si>
    <t>box_item_t9</t>
  </si>
  <si>
    <t>item_t3_webbed</t>
  </si>
  <si>
    <t>box_item_t5</t>
  </si>
  <si>
    <t>item_t5_webbed</t>
  </si>
  <si>
    <t>item_t6_webbed</t>
  </si>
  <si>
    <t>item_t7_webbed</t>
  </si>
  <si>
    <t>item_t8_webbed</t>
  </si>
  <si>
    <t>item_t9_webbed</t>
  </si>
  <si>
    <t>box_item_t10</t>
  </si>
  <si>
    <t>item_t10_webbed</t>
  </si>
  <si>
    <t>box_item_t11</t>
  </si>
  <si>
    <t>item_t11_webbed</t>
  </si>
  <si>
    <t>box_item_t12</t>
  </si>
  <si>
    <t>item_t12_webbed</t>
  </si>
  <si>
    <t>item_t1</t>
  </si>
  <si>
    <t>tier_id</t>
  </si>
  <si>
    <t>icon_name</t>
  </si>
  <si>
    <t>asset_name</t>
  </si>
  <si>
    <t>pirates_item_t1</t>
  </si>
  <si>
    <t>pirates_item_t2</t>
  </si>
  <si>
    <t>pirates_item_t3</t>
  </si>
  <si>
    <t>pirates_item_t4</t>
  </si>
  <si>
    <t>pirates_item_t5</t>
  </si>
  <si>
    <t>pirates_item_t6</t>
  </si>
  <si>
    <t>pirates_item_t7</t>
  </si>
  <si>
    <t>pirates_item_t8</t>
  </si>
  <si>
    <t>pirates_item_t9</t>
  </si>
  <si>
    <t>pirates_item_t10</t>
  </si>
  <si>
    <t>pirates_item_t11</t>
  </si>
  <si>
    <t>pirates_item_t12</t>
  </si>
  <si>
    <t>item_id</t>
  </si>
  <si>
    <t>item_count</t>
  </si>
  <si>
    <t>prize_count_free</t>
  </si>
  <si>
    <t>prize_count_pass</t>
  </si>
  <si>
    <t>Стоимость</t>
  </si>
  <si>
    <t>Доллар</t>
  </si>
  <si>
    <t>Рубли</t>
  </si>
  <si>
    <t>Евро</t>
  </si>
  <si>
    <t>prebooster</t>
  </si>
  <si>
    <t>booster</t>
  </si>
  <si>
    <t>Наборы карт</t>
  </si>
  <si>
    <t>Золото</t>
  </si>
  <si>
    <t xml:space="preserve">Ракета </t>
  </si>
  <si>
    <t>Королевский молот</t>
  </si>
  <si>
    <t>Набор_t2</t>
  </si>
  <si>
    <t xml:space="preserve">Динамит </t>
  </si>
  <si>
    <t xml:space="preserve">Стрела </t>
  </si>
  <si>
    <t>Набор_t3</t>
  </si>
  <si>
    <t xml:space="preserve">Винт </t>
  </si>
  <si>
    <t xml:space="preserve">Пушка </t>
  </si>
  <si>
    <t>Набор_t4</t>
  </si>
  <si>
    <t>Диско-шар</t>
  </si>
  <si>
    <t>Шутовской колпак</t>
  </si>
  <si>
    <t>Набор_t5</t>
  </si>
  <si>
    <t>Набор_t6</t>
  </si>
  <si>
    <t>Уровень</t>
  </si>
  <si>
    <t>Приз_1</t>
  </si>
  <si>
    <t>Всего на прохождение ивента:</t>
  </si>
  <si>
    <t>Кол-во</t>
  </si>
  <si>
    <t>сколько раз лежит на поле</t>
  </si>
  <si>
    <t>Приз_2</t>
  </si>
  <si>
    <t xml:space="preserve">стоимость в т1 </t>
  </si>
  <si>
    <t>Приз_3</t>
  </si>
  <si>
    <t>Было</t>
  </si>
  <si>
    <t>Приз_4</t>
  </si>
  <si>
    <t>Приз_5</t>
  </si>
  <si>
    <t>Приз_6</t>
  </si>
  <si>
    <t>Взял из пасса</t>
  </si>
  <si>
    <t>Осталось</t>
  </si>
  <si>
    <t>Итог:</t>
  </si>
  <si>
    <t>Надо пройти уровней в среднем</t>
  </si>
  <si>
    <t>Сколько нужно предметов 1 тира чтобы получить предмет 12 тира</t>
  </si>
  <si>
    <t>reward_id</t>
  </si>
  <si>
    <t>предмета т1</t>
  </si>
  <si>
    <t>равно предмет т2</t>
  </si>
  <si>
    <t>равно предмет т3</t>
  </si>
  <si>
    <t>равно предмет т4</t>
  </si>
  <si>
    <t>равно предмет т5</t>
  </si>
  <si>
    <t>равно предмет т6</t>
  </si>
  <si>
    <t>равно предмет т7</t>
  </si>
  <si>
    <t>равно предмет т8</t>
  </si>
  <si>
    <t>равно предмет т9</t>
  </si>
  <si>
    <t>равно предмет т10</t>
  </si>
  <si>
    <t>равно предмет т11</t>
  </si>
  <si>
    <t>равно предмет т12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</si>
</sst>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Ŧ ]#,##0.0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theme="6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Font="1"/>
    <xf borderId="0" fillId="0" fontId="6" numFmtId="0" xfId="0" applyAlignment="1" applyFont="1">
      <alignment horizontal="center" vertical="bottom"/>
    </xf>
    <xf borderId="0" fillId="2" fontId="6" numFmtId="0" xfId="0" applyAlignment="1" applyFill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vertical="bottom"/>
    </xf>
    <xf borderId="0" fillId="2" fontId="6" numFmtId="0" xfId="0" applyAlignment="1" applyFill="1" applyFont="1">
      <alignment vertical="bottom"/>
    </xf>
    <xf borderId="0" fillId="0" fontId="6" numFmtId="49" xfId="0" applyAlignment="1" applyFont="1" applyNumberFormat="1">
      <alignment vertical="bottom"/>
    </xf>
    <xf borderId="0" fillId="0" fontId="6" numFmtId="9" xfId="0" applyAlignment="1" applyFont="1" applyNumberFormat="1">
      <alignment horizontal="right" vertical="bottom"/>
    </xf>
    <xf borderId="0" fillId="0" fontId="6" numFmtId="9" xfId="0" applyAlignment="1" applyFont="1" applyNumberFormat="1">
      <alignment vertical="bottom"/>
    </xf>
    <xf borderId="0" fillId="2" fontId="6" numFmtId="0" xfId="0" applyAlignment="1" applyFill="1" applyFont="1">
      <alignment horizontal="center" readingOrder="0" vertical="bottom"/>
    </xf>
    <xf borderId="1" fillId="2" fontId="6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bottom"/>
    </xf>
    <xf borderId="2" fillId="2" fontId="6" numFmtId="0" xfId="0" applyAlignment="1" applyBorder="1" applyFill="1" applyFont="1">
      <alignment horizontal="center" readingOrder="0" vertical="bottom"/>
    </xf>
    <xf borderId="2" fillId="2" fontId="6" numFmtId="0" xfId="0" applyAlignment="1" applyBorder="1" applyFill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3" fillId="2" fontId="6" numFmtId="0" xfId="0" applyAlignment="1" applyBorder="1" applyFill="1" applyFont="1">
      <alignment horizontal="center" vertical="bottom"/>
    </xf>
    <xf borderId="3" fillId="2" fontId="6" numFmtId="0" xfId="0" applyAlignment="1" applyBorder="1" applyFill="1" applyFont="1">
      <alignment horizontal="center" readingOrder="0" vertical="bottom"/>
    </xf>
    <xf borderId="0" fillId="4" fontId="4" numFmtId="0" xfId="0" applyAlignment="1" applyFill="1" applyFont="1">
      <alignment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3" fontId="4" numFmtId="0" xfId="0" applyAlignment="1" applyFill="1" applyFont="1">
      <alignment readingOrder="0"/>
    </xf>
    <xf borderId="0" fillId="3" fontId="4" numFmtId="0" xfId="0" applyFill="1" applyFont="1"/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8" fillId="0" fontId="4" numFmtId="0" xfId="0" applyBorder="1" applyFont="1"/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0.png"/><Relationship Id="rId11" Type="http://schemas.openxmlformats.org/officeDocument/2006/relationships/image" Target="../media/image4.png"/><Relationship Id="rId10" Type="http://schemas.openxmlformats.org/officeDocument/2006/relationships/image" Target="../media/image1.png"/><Relationship Id="rId12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12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2</xdr:row>
      <xdr:rowOff>9525</xdr:rowOff>
    </xdr:from>
    <xdr:ext cx="409575" cy="37147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4</xdr:row>
      <xdr:rowOff>28575</xdr:rowOff>
    </xdr:from>
    <xdr:ext cx="342900" cy="323850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5</xdr:row>
      <xdr:rowOff>190500</xdr:rowOff>
    </xdr:from>
    <xdr:ext cx="409575" cy="371475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8</xdr:row>
      <xdr:rowOff>9525</xdr:rowOff>
    </xdr:from>
    <xdr:ext cx="409575" cy="371475"/>
    <xdr:pic>
      <xdr:nvPicPr>
        <xdr:cNvPr id="0" name="image10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10</xdr:row>
      <xdr:rowOff>9525</xdr:rowOff>
    </xdr:from>
    <xdr:ext cx="409575" cy="371475"/>
    <xdr:pic>
      <xdr:nvPicPr>
        <xdr:cNvPr id="0" name="image1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11</xdr:row>
      <xdr:rowOff>209550</xdr:rowOff>
    </xdr:from>
    <xdr:ext cx="409575" cy="371475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14</xdr:row>
      <xdr:rowOff>28575</xdr:rowOff>
    </xdr:from>
    <xdr:ext cx="342900" cy="323850"/>
    <xdr:pic>
      <xdr:nvPicPr>
        <xdr:cNvPr id="0" name="image9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16</xdr:row>
      <xdr:rowOff>9525</xdr:rowOff>
    </xdr:from>
    <xdr:ext cx="409575" cy="37147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17</xdr:row>
      <xdr:rowOff>219075</xdr:rowOff>
    </xdr:from>
    <xdr:ext cx="342900" cy="371475"/>
    <xdr:pic>
      <xdr:nvPicPr>
        <xdr:cNvPr id="0" name="image8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20</xdr:row>
      <xdr:rowOff>9525</xdr:rowOff>
    </xdr:from>
    <xdr:ext cx="342900" cy="323850"/>
    <xdr:pic>
      <xdr:nvPicPr>
        <xdr:cNvPr id="0" name="image1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21</xdr:row>
      <xdr:rowOff>171450</xdr:rowOff>
    </xdr:from>
    <xdr:ext cx="409575" cy="371475"/>
    <xdr:pic>
      <xdr:nvPicPr>
        <xdr:cNvPr id="0" name="image4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23</xdr:row>
      <xdr:rowOff>190500</xdr:rowOff>
    </xdr:from>
    <xdr:ext cx="342900" cy="371475"/>
    <xdr:pic>
      <xdr:nvPicPr>
        <xdr:cNvPr id="0" name="image11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dim Ilyanets" id="{bdb8b3cc-b9a4-4bb4-8b7e-ff7a63813010}" providerId="google-sheets"/>
  <x18tc:person displayName="Юлия Бурганова" id="{e73346db-3d07-4e74-b4eb-ed1d016eea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7T08:03:34.00" personId="{e73346db-3d07-4e74-b4eb-ed1d016eeac0}" id="{24c9bc96-ace9-4e53-9d1e-956ea1247695}" done="0">
    <x18tc:text xml:space="preserve">спавн открывается после discover</x18tc:text>
  </x18tc:threadedComment>
  <x18tc:threadedComment ref="A1" dT="2026-09-21T10:41:06.00" personId="{bdb8b3cc-b9a4-4bb4-8b7e-ff7a63813010}" id="{d502a090-6385-47b0-8e56-c437c226b771}" done="0">
    <x18tc:text xml:space="preserve">У нас всегда на всех этапах спавнится один предмет первого тира</x18tc:text>
  </x18tc:threadedComment>
  <x18tc:threadedComment ref="E1" dT="2026-09-17T11:24:30.00" personId="{bdb8b3cc-b9a4-4bb4-8b7e-ff7a63813010}" id="{a497d11a-a727-4b75-975f-af14e8ce6a8b}" done="0">
    <x18tc:text xml:space="preserve">Тут нет ваншот механики, уровень можно пройти с любой попытки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6-09-23T09:30:03.00" personId="{bdb8b3cc-b9a4-4bb4-8b7e-ff7a63813010}" id="{47c01d67-d5f2-4e6e-952c-781189db70ce}" done="0">
    <x18tc:text xml:space="preserve">на 6 этапе, поле 5 на 5, собрали предмет 7 тира, выполнили 6 таск, получили награду и перешли к таску 7, этап 7 с новым полем 5 на 5 и нам нужно собрать предмет 8 тира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I3Fpi0SdCcEsu_-e1803awSz0BKzoPJc0qyZV3-N4E/edit?gid=212055059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5" max="5" width="23.75"/>
    <col customWidth="1" min="6" max="6" width="23.63"/>
    <col customWidth="1" min="7" max="7" width="28.88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7" t="s">
        <v>20</v>
      </c>
      <c r="B2" s="7" t="s">
        <v>23</v>
      </c>
      <c r="C2" s="7">
        <v>2.0</v>
      </c>
      <c r="D2" s="7">
        <v>1.0</v>
      </c>
      <c r="E2" s="7">
        <v>1.0</v>
      </c>
      <c r="F2" s="7">
        <v>2.0</v>
      </c>
      <c r="G2" s="7">
        <v>3.0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4" max="4" width="3.75"/>
    <col customWidth="1" min="7" max="7" width="17.63"/>
    <col customWidth="1" min="8" max="8" width="6.25"/>
    <col customWidth="1" min="9" max="9" width="3.0"/>
    <col customWidth="1" min="22" max="22" width="31.25"/>
  </cols>
  <sheetData>
    <row r="1">
      <c r="A1" s="1" t="s">
        <v>1</v>
      </c>
      <c r="B1" s="10" t="s">
        <v>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" t="s">
        <v>38</v>
      </c>
      <c r="B2" s="1" t="s">
        <v>39</v>
      </c>
      <c r="C2" s="12"/>
      <c r="D2" s="12"/>
      <c r="E2" s="12"/>
      <c r="F2" s="1" t="s">
        <v>40</v>
      </c>
      <c r="G2" s="1" t="s">
        <v>41</v>
      </c>
      <c r="H2" s="11"/>
      <c r="I2" s="11"/>
      <c r="J2" s="11"/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11"/>
      <c r="R2" s="11"/>
      <c r="S2" s="11"/>
      <c r="T2" s="11"/>
      <c r="U2" s="12" t="s">
        <v>48</v>
      </c>
      <c r="V2" s="6" t="s">
        <v>49</v>
      </c>
      <c r="W2" s="11"/>
      <c r="X2" s="11"/>
      <c r="Y2" s="11"/>
      <c r="Z2" s="11"/>
      <c r="AA2" s="11"/>
      <c r="AB2" s="11"/>
      <c r="AC2" s="11"/>
    </row>
    <row r="3">
      <c r="A3" s="12" t="str">
        <f>IFERROR(__xludf.DUMMYFUNCTION("IMPORTRANGE(""https://docs.google.com/spreadsheets/d/1VI3Fpi0SdCcEsu_-e1803awSz0BKzoPJc0qyZV3-N4E/"",""pack_special_type"")"),"none")</f>
        <v>none</v>
      </c>
      <c r="B3" s="12" t="str">
        <f>IFERROR(__xludf.DUMMYFUNCTION("{IMPORTRANGE(""https://docs.google.com/spreadsheets/d/1VI3Fpi0SdCcEsu_-e1803awSz0BKzoPJc0qyZV3-N4E/"",""rewards"")}"),"gold")</f>
        <v>gold</v>
      </c>
      <c r="C3" s="11"/>
      <c r="D3" s="11"/>
      <c r="E3" s="11"/>
      <c r="F3" s="11" t="str">
        <f>IFERROR(__xludf.DUMMYFUNCTION("{IMPORTRANGE(""https://docs.google.com/spreadsheets/d/1VI3Fpi0SdCcEsu_-e1803awSz0BKzoPJc0qyZV3-N4E/"",""payer_groups"")}"),"NON_PAYER")</f>
        <v>NON_PAYER</v>
      </c>
      <c r="G3" s="11" t="str">
        <f>IFERROR(__xludf.DUMMYFUNCTION("{IMPORTRANGE(""https://docs.google.com/spreadsheets/d/1VI3Fpi0SdCcEsu_-e1803awSz0BKzoPJc0qyZV3-N4E/"",""bank_icons"")}"),"Bank_01")</f>
        <v>Bank_01</v>
      </c>
      <c r="H3" s="14" t="str">
        <f>IFERROR(__xludf.DUMMYFUNCTION("""COMPUTED_VALUE"""),"#N/A")</f>
        <v>#N/A</v>
      </c>
      <c r="I3" s="14" t="str">
        <f>IFERROR(__xludf.DUMMYFUNCTION("""COMPUTED_VALUE"""),"#N/A")</f>
        <v>#N/A</v>
      </c>
      <c r="J3" s="11"/>
      <c r="K3" s="13" t="str">
        <f>IFERROR(__xludf.DUMMYFUNCTION("{IMPORTRANGE(""https://docs.google.com/spreadsheets/d/1VI3Fpi0SdCcEsu_-e1803awSz0BKzoPJc0qyZV3-N4E/"", ""offer_types"")}"),"first")</f>
        <v>first</v>
      </c>
      <c r="L3" s="11">
        <f>IFERROR(__xludf.DUMMYFUNCTION("""COMPUTED_VALUE"""),100.0)</f>
        <v>100</v>
      </c>
      <c r="M3" s="11" t="b">
        <f>IFERROR(__xludf.DUMMYFUNCTION("""COMPUTED_VALUE"""),FALSE)</f>
        <v>0</v>
      </c>
      <c r="N3" s="15" t="str">
        <f>IFERROR(__xludf.DUMMYFUNCTION("{IMPORTRANGE(""https://docs.google.com/spreadsheets/d/1VI3Fpi0SdCcEsu_-e1803awSz0BKzoPJc0qyZV3-N4E/"", N2)}"),"box_red")</f>
        <v>box_red</v>
      </c>
      <c r="O3" s="11" t="str">
        <f>IFERROR(__xludf.DUMMYFUNCTION("IMPORTRANGE(""https://docs.google.com/spreadsheets/d/1VI3Fpi0SdCcEsu_-e1803awSz0BKzoPJc0qyZV3-N4E/"", ""skin_types!A2:A"")"),"REGULAR")</f>
        <v>REGULAR</v>
      </c>
      <c r="P3" s="11" t="str">
        <f>IFERROR(__xludf.DUMMYFUNCTION("IMPORTRANGE(""https://docs.google.com/spreadsheets/d/1VI3Fpi0SdCcEsu_-e1803awSz0BKzoPJc0qyZV3-N4E/"", ""offer_systems!A2:A6"")"),"main")</f>
        <v>main</v>
      </c>
      <c r="Q3" s="11"/>
      <c r="R3" s="11"/>
      <c r="S3" s="11"/>
      <c r="T3" s="11"/>
      <c r="U3" s="11" t="str">
        <f t="array" ref="U3:U5">{"";"free";#REF!}</f>
        <v/>
      </c>
      <c r="V3" s="11" t="str">
        <f>IFERROR(__xludf.DUMMYFUNCTION("IMPORTRANGE(""https://docs.google.com/spreadsheets/d/1VI3Fpi0SdCcEsu_-e1803awSz0BKzoPJc0qyZV3-N4E/"", ""ads_placements!A2:A"")"),"on_login_inter")</f>
        <v>on_login_inter</v>
      </c>
      <c r="W3" s="11"/>
      <c r="X3" s="11"/>
      <c r="Y3" s="11"/>
      <c r="Z3" s="11"/>
      <c r="AA3" s="11"/>
      <c r="AB3" s="11"/>
      <c r="AC3" s="11"/>
    </row>
    <row r="4">
      <c r="A4" s="11" t="str">
        <f>IFERROR(__xludf.DUMMYFUNCTION("""COMPUTED_VALUE"""),"popular")</f>
        <v>popular</v>
      </c>
      <c r="B4" s="11" t="str">
        <f>IFERROR(__xludf.DUMMYFUNCTION("""COMPUTED_VALUE"""),"infinity_life_5m")</f>
        <v>infinity_life_5m</v>
      </c>
      <c r="C4" s="11"/>
      <c r="D4" s="11"/>
      <c r="E4" s="11"/>
      <c r="F4" s="11" t="str">
        <f>IFERROR(__xludf.DUMMYFUNCTION("""COMPUTED_VALUE"""),"AVERAGE_PAYER")</f>
        <v>AVERAGE_PAYER</v>
      </c>
      <c r="G4" s="11" t="str">
        <f>IFERROR(__xludf.DUMMYFUNCTION("""COMPUTED_VALUE"""),"Bank_02 b")</f>
        <v>Bank_02 b</v>
      </c>
      <c r="H4" s="14" t="str">
        <f>IFERROR(__xludf.DUMMYFUNCTION("""COMPUTED_VALUE"""),"#N/A")</f>
        <v>#N/A</v>
      </c>
      <c r="I4" s="14" t="str">
        <f>IFERROR(__xludf.DUMMYFUNCTION("""COMPUTED_VALUE"""),"#N/A")</f>
        <v>#N/A</v>
      </c>
      <c r="J4" s="11"/>
      <c r="K4" s="11" t="str">
        <f>IFERROR(__xludf.DUMMYFUNCTION("""COMPUTED_VALUE"""),"holiday")</f>
        <v>holiday</v>
      </c>
      <c r="L4" s="11">
        <f>IFERROR(__xludf.DUMMYFUNCTION("""COMPUTED_VALUE"""),50.0)</f>
        <v>50</v>
      </c>
      <c r="M4" s="11" t="b">
        <f>IFERROR(__xludf.DUMMYFUNCTION("""COMPUTED_VALUE"""),TRUE)</f>
        <v>1</v>
      </c>
      <c r="N4" s="11" t="str">
        <f>IFERROR(__xludf.DUMMYFUNCTION("""COMPUTED_VALUE"""),"box_blue")</f>
        <v>box_blue</v>
      </c>
      <c r="O4" s="11" t="str">
        <f>IFERROR(__xludf.DUMMYFUNCTION("""COMPUTED_VALUE"""),"choose_one_puzzle")</f>
        <v>choose_one_puzzle</v>
      </c>
      <c r="P4" s="11" t="str">
        <f>IFERROR(__xludf.DUMMYFUNCTION("""COMPUTED_VALUE"""),"double_1")</f>
        <v>double_1</v>
      </c>
      <c r="Q4" s="11"/>
      <c r="R4" s="11"/>
      <c r="S4" s="11"/>
      <c r="T4" s="11"/>
      <c r="U4" s="11" t="s">
        <v>86</v>
      </c>
      <c r="V4" s="11" t="str">
        <f>IFERROR(__xludf.DUMMYFUNCTION("""COMPUTED_VALUE"""),"level_start_inter")</f>
        <v>level_start_inter</v>
      </c>
      <c r="W4" s="11"/>
      <c r="X4" s="11"/>
      <c r="Y4" s="11"/>
      <c r="Z4" s="11"/>
      <c r="AA4" s="11"/>
      <c r="AB4" s="11"/>
      <c r="AC4" s="11"/>
    </row>
    <row r="5">
      <c r="A5" s="11" t="str">
        <f>IFERROR(__xludf.DUMMYFUNCTION("""COMPUTED_VALUE"""),"more_count")</f>
        <v>more_count</v>
      </c>
      <c r="B5" s="11" t="str">
        <f>IFERROR(__xludf.DUMMYFUNCTION("""COMPUTED_VALUE"""),"booster_bulb")</f>
        <v>booster_bulb</v>
      </c>
      <c r="C5" s="11"/>
      <c r="D5" s="11"/>
      <c r="E5" s="11"/>
      <c r="F5" s="11" t="str">
        <f>IFERROR(__xludf.DUMMYFUNCTION("""COMPUTED_VALUE"""),"PAYER")</f>
        <v>PAYER</v>
      </c>
      <c r="G5" s="11" t="str">
        <f>IFERROR(__xludf.DUMMYFUNCTION("""COMPUTED_VALUE"""),"Bank_02")</f>
        <v>Bank_02</v>
      </c>
      <c r="H5" s="14" t="str">
        <f>IFERROR(__xludf.DUMMYFUNCTION("""COMPUTED_VALUE"""),"#N/A")</f>
        <v>#N/A</v>
      </c>
      <c r="I5" s="14" t="str">
        <f>IFERROR(__xludf.DUMMYFUNCTION("""COMPUTED_VALUE"""),"#N/A")</f>
        <v>#N/A</v>
      </c>
      <c r="J5" s="11"/>
      <c r="K5" s="11" t="str">
        <f>IFERROR(__xludf.DUMMYFUNCTION("""COMPUTED_VALUE"""),"super")</f>
        <v>super</v>
      </c>
      <c r="L5" s="11">
        <f>IFERROR(__xludf.DUMMYFUNCTION("""COMPUTED_VALUE"""),10.0)</f>
        <v>10</v>
      </c>
      <c r="M5" s="11" t="b">
        <f>IFERROR(__xludf.DUMMYFUNCTION("""COMPUTED_VALUE"""),TRUE)</f>
        <v>1</v>
      </c>
      <c r="N5" s="11" t="str">
        <f>IFERROR(__xludf.DUMMYFUNCTION("""COMPUTED_VALUE"""),"chest_gold")</f>
        <v>chest_gold</v>
      </c>
      <c r="O5" s="11"/>
      <c r="P5" s="11" t="str">
        <f>IFERROR(__xludf.DUMMYFUNCTION("""COMPUTED_VALUE"""),"double_2")</f>
        <v>double_2</v>
      </c>
      <c r="Q5" s="11"/>
      <c r="R5" s="11"/>
      <c r="S5" s="11"/>
      <c r="T5" s="11"/>
      <c r="U5" s="11" t="e">
        <v>#REF!</v>
      </c>
      <c r="V5" s="11" t="str">
        <f>IFERROR(__xludf.DUMMYFUNCTION("""COMPUTED_VALUE"""),"level_win_inter")</f>
        <v>level_win_inter</v>
      </c>
      <c r="W5" s="11"/>
      <c r="X5" s="11"/>
      <c r="Y5" s="11"/>
      <c r="Z5" s="11"/>
      <c r="AA5" s="11"/>
      <c r="AB5" s="11"/>
      <c r="AC5" s="11"/>
    </row>
    <row r="6">
      <c r="A6" s="11" t="str">
        <f>IFERROR(__xludf.DUMMYFUNCTION("""COMPUTED_VALUE"""),"off_count")</f>
        <v>off_count</v>
      </c>
      <c r="B6" s="11" t="str">
        <f>IFERROR(__xludf.DUMMYFUNCTION("""COMPUTED_VALUE"""),"booster_ruler")</f>
        <v>booster_ruler</v>
      </c>
      <c r="C6" s="11"/>
      <c r="D6" s="11"/>
      <c r="E6" s="11"/>
      <c r="F6" s="11"/>
      <c r="G6" s="11" t="str">
        <f>IFERROR(__xludf.DUMMYFUNCTION("""COMPUTED_VALUE"""),"Bank_03")</f>
        <v>Bank_03</v>
      </c>
      <c r="H6" s="14" t="str">
        <f>IFERROR(__xludf.DUMMYFUNCTION("""COMPUTED_VALUE"""),"#N/A")</f>
        <v>#N/A</v>
      </c>
      <c r="I6" s="14" t="str">
        <f>IFERROR(__xludf.DUMMYFUNCTION("""COMPUTED_VALUE"""),"#N/A")</f>
        <v>#N/A</v>
      </c>
      <c r="J6" s="11" t="str">
        <f>'_game_defaults'!$F$3:$F1001</f>
        <v/>
      </c>
      <c r="K6" s="11" t="str">
        <f>IFERROR(__xludf.DUMMYFUNCTION("""COMPUTED_VALUE"""),"regular")</f>
        <v>regular</v>
      </c>
      <c r="L6" s="11">
        <f>IFERROR(__xludf.DUMMYFUNCTION("""COMPUTED_VALUE"""),1.0)</f>
        <v>1</v>
      </c>
      <c r="M6" s="11" t="b">
        <f>IFERROR(__xludf.DUMMYFUNCTION("""COMPUTED_VALUE"""),FALSE)</f>
        <v>0</v>
      </c>
      <c r="N6" s="11" t="str">
        <f>IFERROR(__xludf.DUMMYFUNCTION("""COMPUTED_VALUE"""),"chest_silver")</f>
        <v>chest_silver</v>
      </c>
      <c r="O6" s="11"/>
      <c r="P6" s="11" t="str">
        <f>IFERROR(__xludf.DUMMYFUNCTION("""COMPUTED_VALUE"""),"double")</f>
        <v>double</v>
      </c>
      <c r="Q6" s="11"/>
      <c r="R6" s="11"/>
      <c r="S6" s="11"/>
      <c r="T6" s="11"/>
      <c r="U6" s="11"/>
      <c r="V6" s="11" t="str">
        <f>IFERROR(__xludf.DUMMYFUNCTION("""COMPUTED_VALUE"""),"level_fail_inter")</f>
        <v>level_fail_inter</v>
      </c>
      <c r="W6" s="11"/>
      <c r="X6" s="11"/>
      <c r="Y6" s="11"/>
      <c r="Z6" s="11"/>
      <c r="AA6" s="11"/>
      <c r="AB6" s="11"/>
      <c r="AC6" s="11"/>
    </row>
    <row r="7">
      <c r="A7" s="11" t="str">
        <f>IFERROR(__xludf.DUMMYFUNCTION("""COMPUTED_VALUE"""),"sale")</f>
        <v>sale</v>
      </c>
      <c r="B7" s="11" t="str">
        <f>IFERROR(__xludf.DUMMYFUNCTION("""COMPUTED_VALUE"""),"booster_eraser")</f>
        <v>booster_eraser</v>
      </c>
      <c r="C7" s="11"/>
      <c r="D7" s="11"/>
      <c r="E7" s="11"/>
      <c r="F7" s="11"/>
      <c r="G7" s="11" t="str">
        <f>IFERROR(__xludf.DUMMYFUNCTION("""COMPUTED_VALUE"""),"Bank_04")</f>
        <v>Bank_04</v>
      </c>
      <c r="H7" s="14" t="str">
        <f>IFERROR(__xludf.DUMMYFUNCTION("""COMPUTED_VALUE"""),"#N/A")</f>
        <v>#N/A</v>
      </c>
      <c r="I7" s="14" t="str">
        <f>IFERROR(__xludf.DUMMYFUNCTION("""COMPUTED_VALUE"""),"#N/A")</f>
        <v>#N/A</v>
      </c>
      <c r="J7" s="11"/>
      <c r="K7" s="11"/>
      <c r="L7" s="11"/>
      <c r="M7" s="11"/>
      <c r="N7" s="11" t="str">
        <f>IFERROR(__xludf.DUMMYFUNCTION("""COMPUTED_VALUE"""),"chest_stars")</f>
        <v>chest_stars</v>
      </c>
      <c r="O7" s="11"/>
      <c r="P7" s="11" t="str">
        <f>IFERROR(__xludf.DUMMYFUNCTION("""COMPUTED_VALUE"""),"choose_one")</f>
        <v>choose_one</v>
      </c>
      <c r="Q7" s="11"/>
      <c r="R7" s="11"/>
      <c r="S7" s="11"/>
      <c r="T7" s="11"/>
      <c r="U7" s="11"/>
      <c r="V7" s="11" t="str">
        <f>IFERROR(__xludf.DUMMYFUNCTION("""COMPUTED_VALUE"""),"ad_extra_booster_bulb_rewarded")</f>
        <v>ad_extra_booster_bulb_rewarded</v>
      </c>
      <c r="W7" s="11"/>
      <c r="X7" s="11"/>
      <c r="Y7" s="11"/>
      <c r="Z7" s="11"/>
      <c r="AA7" s="11"/>
      <c r="AB7" s="11"/>
      <c r="AC7" s="11"/>
    </row>
    <row r="8">
      <c r="A8" s="11" t="str">
        <f>IFERROR(__xludf.DUMMYFUNCTION("""COMPUTED_VALUE"""),"best_value")</f>
        <v>best_value</v>
      </c>
      <c r="B8" s="11" t="str">
        <f>IFERROR(__xludf.DUMMYFUNCTION("""COMPUTED_VALUE"""),"booster_wand")</f>
        <v>booster_wand</v>
      </c>
      <c r="C8" s="11"/>
      <c r="D8" s="11"/>
      <c r="E8" s="11"/>
      <c r="F8" s="11"/>
      <c r="G8" s="11" t="str">
        <f>IFERROR(__xludf.DUMMYFUNCTION("""COMPUTED_VALUE"""),"Bank_05")</f>
        <v>Bank_05</v>
      </c>
      <c r="H8" s="14" t="str">
        <f>IFERROR(__xludf.DUMMYFUNCTION("""COMPUTED_VALUE"""),"#N/A")</f>
        <v>#N/A</v>
      </c>
      <c r="I8" s="14" t="str">
        <f>IFERROR(__xludf.DUMMYFUNCTION("""COMPUTED_VALUE"""),"#N/A")</f>
        <v>#N/A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 t="str">
        <f>IFERROR(__xludf.DUMMYFUNCTION("""COMPUTED_VALUE"""),"ad_extra_booster_ruler_rewarded")</f>
        <v>ad_extra_booster_ruler_rewarded</v>
      </c>
      <c r="W8" s="11"/>
      <c r="X8" s="11"/>
      <c r="Y8" s="11"/>
      <c r="Z8" s="11"/>
      <c r="AA8" s="11"/>
      <c r="AB8" s="11"/>
      <c r="AC8" s="11"/>
    </row>
    <row r="9">
      <c r="A9" s="11" t="str">
        <f>IFERROR(__xludf.DUMMYFUNCTION("""COMPUTED_VALUE"""),"x_value")</f>
        <v>x_value</v>
      </c>
      <c r="B9" s="11" t="str">
        <f>IFERROR(__xludf.DUMMYFUNCTION("""COMPUTED_VALUE"""),"prelose_good")</f>
        <v>prelose_good</v>
      </c>
      <c r="C9" s="11"/>
      <c r="D9" s="11"/>
      <c r="E9" s="11"/>
      <c r="F9" s="11"/>
      <c r="G9" s="11" t="str">
        <f>IFERROR(__xludf.DUMMYFUNCTION("""COMPUTED_VALUE"""),"Bank_06")</f>
        <v>Bank_06</v>
      </c>
      <c r="H9" s="14" t="str">
        <f>IFERROR(__xludf.DUMMYFUNCTION("""COMPUTED_VALUE"""),"#N/A")</f>
        <v>#N/A</v>
      </c>
      <c r="I9" s="14" t="str">
        <f>IFERROR(__xludf.DUMMYFUNCTION("""COMPUTED_VALUE"""),"#N/A")</f>
        <v>#N/A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 t="str">
        <f>IFERROR(__xludf.DUMMYFUNCTION("""COMPUTED_VALUE"""),"ad_extra_booster_eraser_rewarded")</f>
        <v>ad_extra_booster_eraser_rewarded</v>
      </c>
      <c r="W9" s="11"/>
      <c r="X9" s="11"/>
      <c r="Y9" s="11"/>
      <c r="Z9" s="11"/>
      <c r="AA9" s="11"/>
      <c r="AB9" s="11"/>
      <c r="AC9" s="11"/>
    </row>
    <row r="10">
      <c r="A10" s="11"/>
      <c r="B10" s="11" t="str">
        <f>IFERROR(__xludf.DUMMYFUNCTION("""COMPUTED_VALUE"""),"life_full")</f>
        <v>life_full</v>
      </c>
      <c r="C10" s="11"/>
      <c r="D10" s="11"/>
      <c r="E10" s="11"/>
      <c r="F10" s="11"/>
      <c r="G10" s="11"/>
      <c r="H10" s="14" t="str">
        <f>IFERROR(__xludf.DUMMYFUNCTION("""COMPUTED_VALUE"""),"#N/A")</f>
        <v>#N/A</v>
      </c>
      <c r="I10" s="14" t="str">
        <f>IFERROR(__xludf.DUMMYFUNCTION("""COMPUTED_VALUE"""),"#N/A")</f>
        <v>#N/A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 t="str">
        <f>IFERROR(__xludf.DUMMYFUNCTION("""COMPUTED_VALUE"""),"ad_extra_booster_wand_rewarded")</f>
        <v>ad_extra_booster_wand_rewarded</v>
      </c>
      <c r="W10" s="11"/>
      <c r="X10" s="11"/>
      <c r="Y10" s="11"/>
      <c r="Z10" s="11"/>
      <c r="AA10" s="11"/>
      <c r="AB10" s="11"/>
      <c r="AC10" s="11"/>
    </row>
    <row r="11">
      <c r="A11" s="11"/>
      <c r="B11" s="11" t="str">
        <f>IFERROR(__xludf.DUMMYFUNCTION("""COMPUTED_VALUE"""),"life")</f>
        <v>life</v>
      </c>
      <c r="C11" s="11"/>
      <c r="D11" s="11"/>
      <c r="E11" s="11"/>
      <c r="F11" s="11"/>
      <c r="G11" s="11"/>
      <c r="H11" s="14" t="str">
        <f>IFERROR(__xludf.DUMMYFUNCTION("""COMPUTED_VALUE"""),"#N/A")</f>
        <v>#N/A</v>
      </c>
      <c r="I11" s="14" t="str">
        <f>IFERROR(__xludf.DUMMYFUNCTION("""COMPUTED_VALUE"""),"#N/A")</f>
        <v>#N/A</v>
      </c>
      <c r="J11" s="11"/>
      <c r="K11" s="11"/>
      <c r="L11" s="11"/>
      <c r="M11" s="11"/>
      <c r="N11" s="11"/>
      <c r="O11" s="11"/>
      <c r="P11" s="18">
        <v>0.0</v>
      </c>
      <c r="Q11" s="18">
        <v>0.0</v>
      </c>
      <c r="R11" s="11"/>
      <c r="S11" s="11"/>
      <c r="T11" s="11"/>
      <c r="U11" s="11"/>
      <c r="V11" s="11" t="str">
        <f>IFERROR(__xludf.DUMMYFUNCTION("""COMPUTED_VALUE"""),"ad_level_win_gems_rewarded")</f>
        <v>ad_level_win_gems_rewarded</v>
      </c>
      <c r="W11" s="11"/>
      <c r="X11" s="11"/>
      <c r="Y11" s="11"/>
      <c r="Z11" s="11"/>
      <c r="AA11" s="11"/>
      <c r="AB11" s="11"/>
      <c r="AC11" s="11"/>
    </row>
    <row r="12">
      <c r="A12" s="11"/>
      <c r="B12" s="11" t="str">
        <f>IFERROR(__xludf.DUMMYFUNCTION("""COMPUTED_VALUE"""),"puzzle_resource")</f>
        <v>puzzle_resource</v>
      </c>
      <c r="C12" s="11"/>
      <c r="D12" s="11"/>
      <c r="E12" s="11"/>
      <c r="F12" s="11"/>
      <c r="G12" s="11"/>
      <c r="H12" s="14" t="str">
        <f>IFERROR(__xludf.DUMMYFUNCTION("""COMPUTED_VALUE"""),"#N/A")</f>
        <v>#N/A</v>
      </c>
      <c r="I12" s="14" t="str">
        <f>IFERROR(__xludf.DUMMYFUNCTION("""COMPUTED_VALUE"""),"#N/A")</f>
        <v>#N/A</v>
      </c>
      <c r="J12" s="11"/>
      <c r="K12" s="11"/>
      <c r="L12" s="11"/>
      <c r="M12" s="11"/>
      <c r="N12" s="11"/>
      <c r="O12" s="11"/>
      <c r="P12" s="12" t="s">
        <v>87</v>
      </c>
      <c r="Q12" s="18">
        <v>0.0</v>
      </c>
      <c r="R12" s="11"/>
      <c r="S12" s="11"/>
      <c r="T12" s="11"/>
      <c r="U12" s="11"/>
      <c r="V12" s="11" t="str">
        <f>IFERROR(__xludf.DUMMYFUNCTION("""COMPUTED_VALUE"""),"ad_restore_live_rewarded")</f>
        <v>ad_restore_live_rewarded</v>
      </c>
      <c r="W12" s="11"/>
      <c r="X12" s="11"/>
      <c r="Y12" s="11"/>
      <c r="Z12" s="11"/>
      <c r="AA12" s="11"/>
      <c r="AB12" s="11"/>
      <c r="AC12" s="11"/>
    </row>
    <row r="13">
      <c r="A13" s="11"/>
      <c r="B13" s="11"/>
      <c r="C13" s="11"/>
      <c r="D13" s="11"/>
      <c r="E13" s="11"/>
      <c r="F13" s="11"/>
      <c r="G13" s="11"/>
      <c r="H13" s="14" t="str">
        <f>IFERROR(__xludf.DUMMYFUNCTION("""COMPUTED_VALUE"""),"#N/A")</f>
        <v>#N/A</v>
      </c>
      <c r="I13" s="14" t="str">
        <f>IFERROR(__xludf.DUMMYFUNCTION("""COMPUTED_VALUE"""),"#N/A")</f>
        <v>#N/A</v>
      </c>
      <c r="J13" s="11"/>
      <c r="K13" s="11"/>
      <c r="L13" s="11"/>
      <c r="M13" s="11"/>
      <c r="N13" s="11"/>
      <c r="O13" s="11"/>
      <c r="P13" s="12" t="s">
        <v>88</v>
      </c>
      <c r="Q13" s="18">
        <v>30.0</v>
      </c>
      <c r="R13" s="11"/>
      <c r="S13" s="11"/>
      <c r="T13" s="11"/>
      <c r="U13" s="11"/>
      <c r="V13" s="11" t="str">
        <f>IFERROR(__xludf.DUMMYFUNCTION("""COMPUTED_VALUE"""),"ad_prelose_rewarded")</f>
        <v>ad_prelose_rewarded</v>
      </c>
      <c r="W13" s="11"/>
      <c r="X13" s="11"/>
      <c r="Y13" s="11"/>
      <c r="Z13" s="11"/>
      <c r="AA13" s="11"/>
      <c r="AB13" s="11"/>
      <c r="AC13" s="11"/>
    </row>
    <row r="14">
      <c r="A14" s="11"/>
      <c r="B14" s="11"/>
      <c r="C14" s="11"/>
      <c r="D14" s="11"/>
      <c r="E14" s="11"/>
      <c r="F14" s="11"/>
      <c r="G14" s="11"/>
      <c r="H14" s="14" t="str">
        <f>IFERROR(__xludf.DUMMYFUNCTION("""COMPUTED_VALUE"""),"#N/A")</f>
        <v>#N/A</v>
      </c>
      <c r="I14" s="14" t="str">
        <f>IFERROR(__xludf.DUMMYFUNCTION("""COMPUTED_VALUE"""),"#N/A")</f>
        <v>#N/A</v>
      </c>
      <c r="J14" s="11"/>
      <c r="K14" s="11"/>
      <c r="L14" s="11"/>
      <c r="M14" s="11"/>
      <c r="N14" s="11"/>
      <c r="O14" s="11"/>
      <c r="P14" s="12" t="s">
        <v>89</v>
      </c>
      <c r="Q14" s="18">
        <v>60.0</v>
      </c>
      <c r="R14" s="12" t="s">
        <v>90</v>
      </c>
      <c r="S14" s="12" t="s">
        <v>91</v>
      </c>
      <c r="T14" s="12" t="s">
        <v>89</v>
      </c>
      <c r="U14" s="19"/>
      <c r="V14" s="11" t="str">
        <f>IFERROR(__xludf.DUMMYFUNCTION("""COMPUTED_VALUE"""),"unlimited_offers_rewarded")</f>
        <v>unlimited_offers_rewarded</v>
      </c>
      <c r="W14" s="11"/>
      <c r="X14" s="11"/>
      <c r="Y14" s="11"/>
      <c r="Z14" s="11"/>
      <c r="AA14" s="11"/>
      <c r="AB14" s="11"/>
      <c r="AC14" s="11"/>
    </row>
    <row r="15">
      <c r="A15" s="11"/>
      <c r="B15" s="11"/>
      <c r="C15" s="11"/>
      <c r="D15" s="11"/>
      <c r="E15" s="11"/>
      <c r="F15" s="11"/>
      <c r="G15" s="11"/>
      <c r="H15" s="14" t="str">
        <f>IFERROR(__xludf.DUMMYFUNCTION("""COMPUTED_VALUE"""),"#N/A")</f>
        <v>#N/A</v>
      </c>
      <c r="I15" s="14" t="str">
        <f>IFERROR(__xludf.DUMMYFUNCTION("""COMPUTED_VALUE"""),"#N/A")</f>
        <v>#N/A</v>
      </c>
      <c r="J15" s="11"/>
      <c r="K15" s="11"/>
      <c r="L15" s="11"/>
      <c r="M15" s="11"/>
      <c r="N15" s="11"/>
      <c r="O15" s="11"/>
      <c r="P15" s="11"/>
      <c r="Q15" s="18">
        <v>59.0</v>
      </c>
      <c r="R15" s="12" t="s">
        <v>90</v>
      </c>
      <c r="S15" s="12" t="s">
        <v>92</v>
      </c>
      <c r="T15" s="12" t="s">
        <v>90</v>
      </c>
      <c r="U15" s="19"/>
      <c r="V15" s="11" t="str">
        <f>IFERROR(__xludf.DUMMYFUNCTION("""COMPUTED_VALUE"""),"gems_bank_packs_rewarded")</f>
        <v>gems_bank_packs_rewarded</v>
      </c>
      <c r="W15" s="11"/>
      <c r="X15" s="11"/>
      <c r="Y15" s="11"/>
      <c r="Z15" s="11"/>
      <c r="AA15" s="11"/>
      <c r="AB15" s="11"/>
      <c r="AC15" s="11"/>
    </row>
    <row r="16">
      <c r="A16" s="11"/>
      <c r="B16" s="11"/>
      <c r="C16" s="11"/>
      <c r="D16" s="11"/>
      <c r="E16" s="11"/>
      <c r="F16" s="11"/>
      <c r="G16" s="11"/>
      <c r="H16" s="20"/>
      <c r="I16" s="11"/>
      <c r="J16" s="11"/>
      <c r="K16" s="11"/>
      <c r="L16" s="11"/>
      <c r="M16" s="11"/>
      <c r="N16" s="11"/>
      <c r="O16" s="11"/>
      <c r="P16" s="11"/>
      <c r="Q16" s="18">
        <v>50.0</v>
      </c>
      <c r="R16" s="12" t="s">
        <v>90</v>
      </c>
      <c r="S16" s="18">
        <v>70.0</v>
      </c>
      <c r="T16" s="12" t="s">
        <v>90</v>
      </c>
      <c r="U16" s="21"/>
      <c r="V16" s="11"/>
      <c r="W16" s="11"/>
      <c r="X16" s="11"/>
      <c r="Y16" s="11"/>
      <c r="Z16" s="11"/>
      <c r="AA16" s="11"/>
      <c r="AB16" s="11"/>
      <c r="AC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8">
        <v>-1.0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8">
        <v>-1.0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2">
        <v>0.99</v>
      </c>
      <c r="R21" s="12" t="s">
        <v>89</v>
      </c>
      <c r="S21" s="11"/>
      <c r="T21" s="11"/>
      <c r="U21" s="19"/>
      <c r="V21" s="23"/>
      <c r="W21" s="11"/>
      <c r="X21" s="11"/>
      <c r="Y21" s="11"/>
      <c r="Z21" s="11"/>
      <c r="AA21" s="11"/>
      <c r="AB21" s="11"/>
      <c r="AC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8">
        <v>3.0</v>
      </c>
      <c r="Q22" s="22">
        <v>0.6</v>
      </c>
      <c r="R22" s="12" t="s">
        <v>89</v>
      </c>
      <c r="S22" s="11"/>
      <c r="T22" s="11"/>
      <c r="U22" s="11"/>
      <c r="V22" s="23"/>
      <c r="W22" s="11"/>
      <c r="X22" s="11"/>
      <c r="Y22" s="11"/>
      <c r="Z22" s="11"/>
      <c r="AA22" s="11"/>
      <c r="AB22" s="11"/>
      <c r="AC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 t="s">
        <v>90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9"/>
      <c r="V24" s="11"/>
      <c r="W24" s="11"/>
      <c r="X24" s="11"/>
      <c r="Y24" s="11"/>
      <c r="Z24" s="11"/>
      <c r="AA24" s="11"/>
      <c r="AB24" s="11"/>
      <c r="AC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9"/>
      <c r="V32" s="11"/>
      <c r="W32" s="11"/>
      <c r="X32" s="11"/>
      <c r="Y32" s="11"/>
      <c r="Z32" s="11"/>
      <c r="AA32" s="11"/>
      <c r="AB32" s="11"/>
      <c r="AC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9"/>
      <c r="V34" s="11"/>
      <c r="W34" s="11"/>
      <c r="X34" s="11"/>
      <c r="Y34" s="11"/>
      <c r="Z34" s="11"/>
      <c r="AA34" s="11"/>
      <c r="AB34" s="11"/>
      <c r="AC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</sheetData>
  <hyperlinks>
    <hyperlink r:id="rId1" location="gid=212055059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2" t="s">
        <v>2</v>
      </c>
      <c r="B1" s="2" t="s">
        <v>0</v>
      </c>
      <c r="C1" s="2" t="s">
        <v>8</v>
      </c>
      <c r="D1" s="2" t="s">
        <v>10</v>
      </c>
      <c r="E1" s="3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22</v>
      </c>
      <c r="B2" s="7" t="s">
        <v>20</v>
      </c>
      <c r="C2" s="7">
        <v>5.0</v>
      </c>
      <c r="D2" s="7">
        <v>5.0</v>
      </c>
    </row>
    <row r="3">
      <c r="A3" s="7" t="s">
        <v>26</v>
      </c>
      <c r="B3" s="7" t="s">
        <v>20</v>
      </c>
      <c r="C3" s="7">
        <v>5.0</v>
      </c>
      <c r="D3" s="7">
        <v>6.0</v>
      </c>
    </row>
    <row r="4">
      <c r="A4" s="7" t="s">
        <v>28</v>
      </c>
      <c r="B4" s="7" t="s">
        <v>20</v>
      </c>
      <c r="C4" s="7">
        <v>6.0</v>
      </c>
      <c r="D4" s="7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1.88"/>
    <col customWidth="1" min="3" max="3" width="8.63"/>
    <col customWidth="1" min="4" max="4" width="20.38"/>
    <col customWidth="1" min="6" max="6" width="14.75"/>
    <col customWidth="1" min="7" max="7" width="17.13"/>
    <col customWidth="1" min="8" max="8" width="4.38"/>
    <col customWidth="1" min="9" max="9" width="17.13"/>
    <col customWidth="1" min="10" max="10" width="4.38"/>
    <col customWidth="1" min="11" max="11" width="15.75"/>
    <col customWidth="1" min="12" max="12" width="4.38"/>
    <col customWidth="1" min="13" max="13" width="17.13"/>
    <col customWidth="1" min="14" max="14" width="4.38"/>
    <col customWidth="1" min="15" max="15" width="16.38"/>
    <col customWidth="1" min="16" max="16" width="4.38"/>
    <col customWidth="1" min="17" max="17" width="16.88"/>
    <col customWidth="1" min="18" max="18" width="4.38"/>
  </cols>
  <sheetData>
    <row r="1">
      <c r="A1" s="2" t="s">
        <v>2</v>
      </c>
      <c r="B1" s="2" t="s">
        <v>11</v>
      </c>
      <c r="C1" s="2" t="s">
        <v>13</v>
      </c>
      <c r="D1" s="2" t="s">
        <v>14</v>
      </c>
      <c r="E1" s="2" t="s">
        <v>15</v>
      </c>
      <c r="F1" s="2" t="s">
        <v>16</v>
      </c>
      <c r="G1" s="1" t="s">
        <v>17</v>
      </c>
      <c r="H1" s="5" t="s">
        <v>18</v>
      </c>
      <c r="I1" s="6" t="s">
        <v>19</v>
      </c>
      <c r="J1" s="5" t="s">
        <v>21</v>
      </c>
      <c r="K1" s="6" t="s">
        <v>24</v>
      </c>
      <c r="L1" s="8" t="s">
        <v>25</v>
      </c>
      <c r="M1" s="9" t="s">
        <v>27</v>
      </c>
      <c r="N1" s="8" t="s">
        <v>29</v>
      </c>
      <c r="O1" s="9" t="s">
        <v>30</v>
      </c>
      <c r="P1" s="8" t="s">
        <v>31</v>
      </c>
      <c r="Q1" s="9" t="s">
        <v>32</v>
      </c>
      <c r="R1" s="8" t="s">
        <v>33</v>
      </c>
      <c r="S1" s="4"/>
      <c r="T1" s="4"/>
      <c r="U1" s="4"/>
      <c r="V1" s="4"/>
      <c r="W1" s="4"/>
      <c r="X1" s="4"/>
      <c r="Y1" s="4"/>
      <c r="Z1" s="4"/>
    </row>
    <row r="2">
      <c r="A2" s="7" t="s">
        <v>34</v>
      </c>
      <c r="B2" s="7" t="s">
        <v>35</v>
      </c>
      <c r="C2" s="7" t="b">
        <v>1</v>
      </c>
      <c r="D2" s="7" t="s">
        <v>22</v>
      </c>
      <c r="E2" s="7" t="s">
        <v>36</v>
      </c>
      <c r="F2" s="7" t="s">
        <v>37</v>
      </c>
      <c r="G2" s="13"/>
      <c r="I2" s="13"/>
      <c r="K2" s="13"/>
      <c r="M2" s="13"/>
      <c r="O2" s="13"/>
      <c r="Q2" s="13"/>
    </row>
    <row r="3">
      <c r="A3" s="7" t="s">
        <v>50</v>
      </c>
      <c r="B3" s="7" t="s">
        <v>51</v>
      </c>
      <c r="C3" s="7" t="b">
        <v>0</v>
      </c>
      <c r="D3" s="7" t="s">
        <v>22</v>
      </c>
      <c r="E3" s="7" t="s">
        <v>36</v>
      </c>
      <c r="F3" s="7" t="s">
        <v>52</v>
      </c>
      <c r="G3" s="13"/>
      <c r="I3" s="13"/>
      <c r="K3" s="13"/>
      <c r="M3" s="13"/>
      <c r="O3" s="13"/>
      <c r="Q3" s="13"/>
    </row>
    <row r="4">
      <c r="A4" s="7" t="s">
        <v>53</v>
      </c>
      <c r="B4" s="7" t="s">
        <v>54</v>
      </c>
      <c r="C4" s="7" t="b">
        <v>0</v>
      </c>
      <c r="D4" s="7" t="s">
        <v>22</v>
      </c>
      <c r="E4" s="7" t="s">
        <v>36</v>
      </c>
      <c r="F4" s="7" t="s">
        <v>55</v>
      </c>
      <c r="G4" s="13"/>
      <c r="I4" s="13"/>
      <c r="K4" s="13"/>
      <c r="M4" s="13"/>
      <c r="O4" s="13"/>
      <c r="Q4" s="13"/>
    </row>
    <row r="5">
      <c r="A5" s="7" t="s">
        <v>56</v>
      </c>
      <c r="B5" s="7" t="s">
        <v>57</v>
      </c>
      <c r="C5" s="7" t="b">
        <v>0</v>
      </c>
      <c r="D5" s="7" t="s">
        <v>22</v>
      </c>
      <c r="E5" s="7" t="s">
        <v>36</v>
      </c>
      <c r="F5" s="7" t="s">
        <v>58</v>
      </c>
      <c r="G5" s="13"/>
      <c r="I5" s="13"/>
      <c r="K5" s="13"/>
      <c r="M5" s="13"/>
      <c r="O5" s="13"/>
      <c r="Q5" s="13"/>
    </row>
    <row r="6">
      <c r="A6" s="7" t="s">
        <v>59</v>
      </c>
      <c r="B6" s="7" t="s">
        <v>60</v>
      </c>
      <c r="C6" s="7" t="b">
        <v>0</v>
      </c>
      <c r="D6" s="7" t="s">
        <v>22</v>
      </c>
      <c r="E6" s="7" t="s">
        <v>36</v>
      </c>
      <c r="F6" s="7" t="s">
        <v>61</v>
      </c>
      <c r="G6" s="13"/>
      <c r="I6" s="13"/>
      <c r="K6" s="13"/>
      <c r="M6" s="13"/>
      <c r="O6" s="13"/>
      <c r="Q6" s="13"/>
    </row>
    <row r="7">
      <c r="A7" s="7" t="s">
        <v>62</v>
      </c>
      <c r="B7" s="7" t="s">
        <v>63</v>
      </c>
      <c r="C7" s="7" t="b">
        <v>0</v>
      </c>
      <c r="D7" s="7" t="s">
        <v>22</v>
      </c>
      <c r="E7" s="7" t="s">
        <v>36</v>
      </c>
      <c r="F7" s="7" t="s">
        <v>64</v>
      </c>
      <c r="G7" s="16" t="s">
        <v>65</v>
      </c>
      <c r="H7" s="16">
        <v>1.0</v>
      </c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A8" s="7" t="s">
        <v>66</v>
      </c>
      <c r="B8" s="7" t="s">
        <v>67</v>
      </c>
      <c r="C8" s="7" t="b">
        <v>1</v>
      </c>
      <c r="D8" s="7" t="s">
        <v>22</v>
      </c>
      <c r="E8" s="7" t="s">
        <v>36</v>
      </c>
      <c r="F8" s="7" t="s">
        <v>68</v>
      </c>
      <c r="G8" s="16" t="s">
        <v>69</v>
      </c>
      <c r="H8" s="16">
        <v>1.0</v>
      </c>
      <c r="I8" s="17"/>
      <c r="J8" s="17"/>
      <c r="K8" s="17"/>
      <c r="L8" s="17"/>
      <c r="M8" s="17"/>
      <c r="N8" s="17"/>
      <c r="O8" s="17"/>
      <c r="P8" s="17"/>
      <c r="Q8" s="17"/>
      <c r="R8" s="17"/>
    </row>
    <row r="9">
      <c r="A9" s="7" t="s">
        <v>70</v>
      </c>
      <c r="B9" s="7" t="s">
        <v>71</v>
      </c>
      <c r="C9" s="7" t="b">
        <v>1</v>
      </c>
      <c r="D9" s="7" t="s">
        <v>26</v>
      </c>
      <c r="E9" s="7" t="s">
        <v>36</v>
      </c>
      <c r="F9" s="7" t="s">
        <v>72</v>
      </c>
      <c r="G9" s="16" t="s">
        <v>73</v>
      </c>
      <c r="H9" s="16">
        <v>1.0</v>
      </c>
      <c r="I9" s="17"/>
      <c r="J9" s="17"/>
      <c r="K9" s="17"/>
      <c r="L9" s="17"/>
      <c r="M9" s="17"/>
      <c r="N9" s="17"/>
      <c r="O9" s="17"/>
      <c r="P9" s="17"/>
      <c r="Q9" s="13"/>
    </row>
    <row r="10">
      <c r="A10" s="7" t="s">
        <v>74</v>
      </c>
      <c r="B10" s="7" t="s">
        <v>75</v>
      </c>
      <c r="C10" s="7" t="b">
        <v>1</v>
      </c>
      <c r="D10" s="7" t="s">
        <v>26</v>
      </c>
      <c r="E10" s="7" t="s">
        <v>36</v>
      </c>
      <c r="F10" s="7" t="s">
        <v>76</v>
      </c>
      <c r="G10" s="16" t="s">
        <v>65</v>
      </c>
      <c r="H10" s="16">
        <v>1.0</v>
      </c>
      <c r="I10" s="16" t="s">
        <v>73</v>
      </c>
      <c r="J10" s="16">
        <v>1.0</v>
      </c>
      <c r="K10" s="17"/>
      <c r="L10" s="17"/>
      <c r="M10" s="17"/>
      <c r="N10" s="17"/>
      <c r="O10" s="17"/>
      <c r="P10" s="17"/>
      <c r="Q10" s="13"/>
    </row>
    <row r="11">
      <c r="A11" s="7" t="s">
        <v>77</v>
      </c>
      <c r="B11" s="7" t="s">
        <v>78</v>
      </c>
      <c r="C11" s="7" t="b">
        <v>1</v>
      </c>
      <c r="D11" s="7" t="s">
        <v>28</v>
      </c>
      <c r="E11" s="7" t="s">
        <v>36</v>
      </c>
      <c r="F11" s="7" t="s">
        <v>79</v>
      </c>
      <c r="G11" s="16" t="s">
        <v>80</v>
      </c>
      <c r="H11" s="16">
        <v>250.0</v>
      </c>
      <c r="I11" s="16" t="s">
        <v>69</v>
      </c>
      <c r="J11" s="16">
        <v>1.0</v>
      </c>
      <c r="K11" s="16" t="s">
        <v>65</v>
      </c>
      <c r="L11" s="16">
        <v>1.0</v>
      </c>
      <c r="M11" s="17"/>
      <c r="N11" s="17"/>
      <c r="O11" s="17"/>
      <c r="P11" s="17"/>
      <c r="Q11" s="13"/>
    </row>
    <row r="12">
      <c r="A12" s="7" t="s">
        <v>81</v>
      </c>
      <c r="B12" s="7" t="s">
        <v>82</v>
      </c>
      <c r="C12" s="7" t="b">
        <v>1</v>
      </c>
      <c r="D12" s="7" t="s">
        <v>28</v>
      </c>
      <c r="E12" s="7" t="s">
        <v>36</v>
      </c>
      <c r="F12" s="7" t="s">
        <v>83</v>
      </c>
      <c r="G12" s="16" t="s">
        <v>80</v>
      </c>
      <c r="H12" s="16">
        <v>500.0</v>
      </c>
      <c r="I12" s="16" t="s">
        <v>65</v>
      </c>
      <c r="J12" s="16">
        <v>1.0</v>
      </c>
      <c r="K12" s="16" t="s">
        <v>73</v>
      </c>
      <c r="L12" s="16">
        <v>1.0</v>
      </c>
      <c r="M12" s="16" t="s">
        <v>69</v>
      </c>
      <c r="N12" s="16">
        <v>1.0</v>
      </c>
      <c r="O12" s="16" t="s">
        <v>84</v>
      </c>
      <c r="P12" s="16">
        <v>1.0</v>
      </c>
      <c r="Q12" s="7" t="s">
        <v>85</v>
      </c>
      <c r="R12" s="7">
        <v>12.0</v>
      </c>
    </row>
  </sheetData>
  <dataValidations>
    <dataValidation type="list" allowBlank="1" showErrorMessage="1" sqref="G2:G12 I2:I12 K2:K12 M2:M12 O2:O12 Q2:Q12">
      <formula1>'_game_defaults'!$B$3:$B1000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9.38"/>
    <col customWidth="1" min="3" max="5" width="15.38"/>
    <col customWidth="1" min="6" max="6" width="17.63"/>
    <col customWidth="1" min="7" max="7" width="15.38"/>
    <col customWidth="1" min="8" max="8" width="13.75"/>
    <col customWidth="1" min="10" max="10" width="12.75"/>
    <col customWidth="1" min="11" max="11" width="18.5"/>
    <col customWidth="1" min="12" max="15" width="15.38"/>
  </cols>
  <sheetData>
    <row r="1">
      <c r="A1" s="24"/>
      <c r="B1" s="24"/>
      <c r="C1" s="24"/>
      <c r="D1" s="24"/>
      <c r="E1" s="24"/>
      <c r="F1" s="24"/>
    </row>
    <row r="2">
      <c r="A2" s="24"/>
      <c r="B2" s="24" t="s">
        <v>35</v>
      </c>
      <c r="C2" s="24" t="s">
        <v>93</v>
      </c>
      <c r="D2" s="24"/>
      <c r="E2" s="24"/>
      <c r="F2" s="24"/>
    </row>
    <row r="3">
      <c r="A3" s="24"/>
      <c r="B3" s="25" t="s">
        <v>94</v>
      </c>
      <c r="C3" s="25" t="s">
        <v>94</v>
      </c>
      <c r="D3" s="25" t="s">
        <v>95</v>
      </c>
      <c r="E3" s="25" t="s">
        <v>94</v>
      </c>
      <c r="F3" s="25" t="s">
        <v>94</v>
      </c>
      <c r="H3" s="26">
        <v>1.0</v>
      </c>
    </row>
    <row r="4">
      <c r="A4" s="24"/>
      <c r="B4" s="27" t="s">
        <v>94</v>
      </c>
      <c r="C4" s="27" t="s">
        <v>96</v>
      </c>
      <c r="D4" s="27" t="s">
        <v>94</v>
      </c>
      <c r="E4" s="27" t="s">
        <v>96</v>
      </c>
      <c r="F4" s="25" t="s">
        <v>94</v>
      </c>
      <c r="J4" s="24"/>
      <c r="K4" s="24"/>
      <c r="L4" s="24"/>
      <c r="M4" s="24"/>
    </row>
    <row r="5">
      <c r="A5" s="24"/>
      <c r="B5" s="27" t="s">
        <v>94</v>
      </c>
      <c r="C5" s="28" t="s">
        <v>97</v>
      </c>
      <c r="D5" s="28" t="s">
        <v>97</v>
      </c>
      <c r="E5" s="28" t="s">
        <v>97</v>
      </c>
      <c r="F5" s="27" t="s">
        <v>94</v>
      </c>
      <c r="H5" s="26">
        <v>2.0</v>
      </c>
    </row>
    <row r="6">
      <c r="A6" s="24"/>
      <c r="B6" s="25" t="s">
        <v>97</v>
      </c>
      <c r="C6" s="29"/>
      <c r="D6" s="29"/>
      <c r="E6" s="29"/>
      <c r="F6" s="28" t="s">
        <v>97</v>
      </c>
    </row>
    <row r="7">
      <c r="A7" s="30"/>
      <c r="B7" s="31"/>
      <c r="C7" s="29"/>
      <c r="D7" s="29"/>
      <c r="E7" s="29"/>
      <c r="F7" s="29"/>
      <c r="H7" s="26">
        <v>3.0</v>
      </c>
    </row>
    <row r="9">
      <c r="H9" s="26">
        <v>4.0</v>
      </c>
    </row>
    <row r="10">
      <c r="B10" s="24" t="s">
        <v>67</v>
      </c>
      <c r="C10" s="24" t="s">
        <v>93</v>
      </c>
      <c r="D10" s="24"/>
      <c r="E10" s="24"/>
      <c r="F10" s="24"/>
    </row>
    <row r="11">
      <c r="B11" s="25"/>
      <c r="C11" s="25"/>
      <c r="D11" s="25"/>
      <c r="E11" s="25"/>
      <c r="F11" s="25"/>
      <c r="H11" s="26">
        <v>5.0</v>
      </c>
    </row>
    <row r="12">
      <c r="B12" s="25"/>
      <c r="C12" s="25" t="s">
        <v>97</v>
      </c>
      <c r="D12" s="25"/>
      <c r="E12" s="25" t="s">
        <v>97</v>
      </c>
      <c r="F12" s="25"/>
    </row>
    <row r="13">
      <c r="B13" s="25" t="s">
        <v>97</v>
      </c>
      <c r="C13" s="28" t="s">
        <v>94</v>
      </c>
      <c r="D13" s="28" t="s">
        <v>98</v>
      </c>
      <c r="E13" s="28" t="s">
        <v>94</v>
      </c>
      <c r="F13" s="25" t="s">
        <v>97</v>
      </c>
      <c r="H13" s="26">
        <v>6.0</v>
      </c>
    </row>
    <row r="14">
      <c r="B14" s="25" t="s">
        <v>94</v>
      </c>
      <c r="C14" s="28" t="s">
        <v>96</v>
      </c>
      <c r="D14" s="28" t="s">
        <v>94</v>
      </c>
      <c r="E14" s="28" t="s">
        <v>96</v>
      </c>
      <c r="F14" s="28" t="s">
        <v>94</v>
      </c>
    </row>
    <row r="15">
      <c r="B15" s="32" t="s">
        <v>94</v>
      </c>
      <c r="C15" s="28" t="s">
        <v>96</v>
      </c>
      <c r="D15" s="28" t="s">
        <v>94</v>
      </c>
      <c r="E15" s="28" t="s">
        <v>95</v>
      </c>
      <c r="F15" s="28" t="s">
        <v>94</v>
      </c>
      <c r="H15" s="26">
        <v>7.0</v>
      </c>
    </row>
    <row r="17">
      <c r="B17" s="24" t="s">
        <v>71</v>
      </c>
      <c r="C17" s="24" t="s">
        <v>99</v>
      </c>
      <c r="D17" s="24"/>
      <c r="E17" s="24"/>
      <c r="F17" s="24"/>
      <c r="H17" s="26">
        <v>8.0</v>
      </c>
    </row>
    <row r="18">
      <c r="B18" s="25" t="s">
        <v>94</v>
      </c>
      <c r="C18" s="25" t="s">
        <v>100</v>
      </c>
      <c r="D18" s="25" t="s">
        <v>94</v>
      </c>
      <c r="E18" s="25" t="s">
        <v>96</v>
      </c>
      <c r="F18" s="25" t="s">
        <v>94</v>
      </c>
    </row>
    <row r="19">
      <c r="B19" s="25" t="s">
        <v>96</v>
      </c>
      <c r="C19" s="25" t="s">
        <v>94</v>
      </c>
      <c r="D19" s="25" t="s">
        <v>96</v>
      </c>
      <c r="E19" s="25" t="s">
        <v>101</v>
      </c>
      <c r="F19" s="25" t="s">
        <v>96</v>
      </c>
      <c r="H19" s="26">
        <v>9.0</v>
      </c>
    </row>
    <row r="20">
      <c r="B20" s="25" t="s">
        <v>97</v>
      </c>
      <c r="C20" s="28" t="s">
        <v>94</v>
      </c>
      <c r="D20" s="28" t="s">
        <v>96</v>
      </c>
      <c r="E20" s="28" t="s">
        <v>94</v>
      </c>
      <c r="F20" s="25" t="s">
        <v>97</v>
      </c>
    </row>
    <row r="21">
      <c r="B21" s="25"/>
      <c r="C21" s="28" t="s">
        <v>97</v>
      </c>
      <c r="D21" s="28" t="s">
        <v>94</v>
      </c>
      <c r="E21" s="28" t="s">
        <v>97</v>
      </c>
      <c r="F21" s="28"/>
      <c r="H21" s="26">
        <v>10.0</v>
      </c>
    </row>
    <row r="22">
      <c r="B22" s="31"/>
      <c r="C22" s="29"/>
      <c r="D22" s="28" t="s">
        <v>97</v>
      </c>
      <c r="E22" s="29"/>
      <c r="F22" s="29"/>
    </row>
    <row r="23">
      <c r="B23" s="31"/>
      <c r="C23" s="29"/>
      <c r="D23" s="29"/>
      <c r="E23" s="29"/>
      <c r="F23" s="29"/>
      <c r="H23" s="26">
        <v>11.0</v>
      </c>
    </row>
    <row r="25">
      <c r="B25" s="24" t="s">
        <v>75</v>
      </c>
      <c r="C25" s="24" t="s">
        <v>99</v>
      </c>
      <c r="D25" s="24"/>
      <c r="E25" s="24"/>
      <c r="F25" s="24"/>
      <c r="H25" s="26">
        <v>12.0</v>
      </c>
    </row>
    <row r="26">
      <c r="B26" s="25"/>
      <c r="C26" s="25"/>
      <c r="D26" s="25" t="s">
        <v>97</v>
      </c>
      <c r="E26" s="25" t="s">
        <v>94</v>
      </c>
      <c r="F26" s="25" t="s">
        <v>96</v>
      </c>
    </row>
    <row r="27">
      <c r="B27" s="25"/>
      <c r="C27" s="25"/>
      <c r="D27" s="25" t="s">
        <v>98</v>
      </c>
      <c r="E27" s="25" t="s">
        <v>94</v>
      </c>
      <c r="F27" s="25" t="s">
        <v>94</v>
      </c>
    </row>
    <row r="28">
      <c r="B28" s="25"/>
      <c r="C28" s="28" t="s">
        <v>97</v>
      </c>
      <c r="D28" s="28" t="s">
        <v>101</v>
      </c>
      <c r="E28" s="28" t="s">
        <v>101</v>
      </c>
      <c r="F28" s="25" t="s">
        <v>100</v>
      </c>
    </row>
    <row r="29">
      <c r="B29" s="25"/>
      <c r="C29" s="28" t="s">
        <v>98</v>
      </c>
      <c r="D29" s="28" t="s">
        <v>94</v>
      </c>
      <c r="E29" s="28" t="s">
        <v>94</v>
      </c>
      <c r="F29" s="28" t="s">
        <v>96</v>
      </c>
    </row>
    <row r="30">
      <c r="B30" s="31"/>
      <c r="C30" s="29"/>
      <c r="D30" s="28" t="s">
        <v>98</v>
      </c>
      <c r="E30" s="28" t="s">
        <v>101</v>
      </c>
      <c r="F30" s="28" t="s">
        <v>100</v>
      </c>
    </row>
    <row r="31">
      <c r="B31" s="31"/>
      <c r="C31" s="29"/>
      <c r="D31" s="28" t="s">
        <v>97</v>
      </c>
      <c r="E31" s="28" t="s">
        <v>96</v>
      </c>
      <c r="F31" s="28" t="s">
        <v>96</v>
      </c>
    </row>
    <row r="33">
      <c r="B33" s="24" t="s">
        <v>78</v>
      </c>
      <c r="C33" s="24" t="s">
        <v>102</v>
      </c>
      <c r="D33" s="24"/>
      <c r="E33" s="24"/>
      <c r="F33" s="24"/>
    </row>
    <row r="34">
      <c r="B34" s="25" t="s">
        <v>103</v>
      </c>
      <c r="C34" s="25" t="s">
        <v>95</v>
      </c>
      <c r="D34" s="25" t="s">
        <v>101</v>
      </c>
      <c r="E34" s="25" t="s">
        <v>94</v>
      </c>
      <c r="F34" s="25" t="s">
        <v>96</v>
      </c>
      <c r="G34" s="25" t="s">
        <v>94</v>
      </c>
    </row>
    <row r="35">
      <c r="B35" s="25" t="s">
        <v>95</v>
      </c>
      <c r="C35" s="25" t="s">
        <v>103</v>
      </c>
      <c r="D35" s="25" t="s">
        <v>96</v>
      </c>
      <c r="E35" s="25" t="s">
        <v>95</v>
      </c>
      <c r="F35" s="25" t="s">
        <v>104</v>
      </c>
      <c r="G35" s="25" t="s">
        <v>97</v>
      </c>
    </row>
    <row r="36">
      <c r="B36" s="25" t="s">
        <v>101</v>
      </c>
      <c r="C36" s="28" t="s">
        <v>105</v>
      </c>
      <c r="D36" s="28" t="s">
        <v>101</v>
      </c>
      <c r="E36" s="28" t="s">
        <v>98</v>
      </c>
      <c r="F36" s="25"/>
      <c r="G36" s="25"/>
    </row>
    <row r="37">
      <c r="B37" s="25" t="s">
        <v>94</v>
      </c>
      <c r="C37" s="28" t="s">
        <v>95</v>
      </c>
      <c r="D37" s="28" t="s">
        <v>98</v>
      </c>
      <c r="E37" s="28" t="s">
        <v>97</v>
      </c>
      <c r="F37" s="28"/>
      <c r="G37" s="28"/>
    </row>
    <row r="38">
      <c r="B38" s="32" t="s">
        <v>96</v>
      </c>
      <c r="C38" s="28" t="s">
        <v>104</v>
      </c>
      <c r="D38" s="29"/>
      <c r="E38" s="29"/>
      <c r="F38" s="29"/>
      <c r="G38" s="29"/>
    </row>
    <row r="39">
      <c r="B39" s="32" t="s">
        <v>94</v>
      </c>
      <c r="C39" s="28" t="s">
        <v>97</v>
      </c>
      <c r="D39" s="29"/>
      <c r="E39" s="29"/>
      <c r="F39" s="29"/>
      <c r="G39" s="29"/>
    </row>
    <row r="41">
      <c r="B41" s="24" t="s">
        <v>82</v>
      </c>
      <c r="C41" s="24" t="s">
        <v>102</v>
      </c>
      <c r="D41" s="24"/>
      <c r="E41" s="24"/>
      <c r="F41" s="24"/>
    </row>
    <row r="42">
      <c r="B42" s="25" t="s">
        <v>96</v>
      </c>
      <c r="C42" s="25" t="s">
        <v>103</v>
      </c>
      <c r="D42" s="25" t="s">
        <v>107</v>
      </c>
      <c r="E42" s="25" t="s">
        <v>101</v>
      </c>
      <c r="F42" s="25" t="s">
        <v>96</v>
      </c>
      <c r="G42" s="25" t="s">
        <v>103</v>
      </c>
    </row>
    <row r="43">
      <c r="B43" s="25" t="s">
        <v>101</v>
      </c>
      <c r="C43" s="25" t="s">
        <v>95</v>
      </c>
      <c r="D43" s="25" t="s">
        <v>96</v>
      </c>
      <c r="E43" s="25" t="s">
        <v>103</v>
      </c>
      <c r="F43" s="25" t="s">
        <v>100</v>
      </c>
      <c r="G43" s="25" t="s">
        <v>101</v>
      </c>
    </row>
    <row r="44">
      <c r="B44" s="25" t="s">
        <v>95</v>
      </c>
      <c r="C44" s="28" t="s">
        <v>101</v>
      </c>
      <c r="D44" s="28" t="s">
        <v>111</v>
      </c>
      <c r="E44" s="28" t="s">
        <v>104</v>
      </c>
      <c r="F44" s="25" t="s">
        <v>95</v>
      </c>
      <c r="G44" s="25" t="s">
        <v>101</v>
      </c>
    </row>
    <row r="45">
      <c r="B45" s="25" t="s">
        <v>96</v>
      </c>
      <c r="C45" s="28" t="s">
        <v>97</v>
      </c>
      <c r="D45" s="29"/>
      <c r="E45" s="29"/>
      <c r="F45" s="28" t="s">
        <v>97</v>
      </c>
      <c r="G45" s="28" t="s">
        <v>96</v>
      </c>
    </row>
    <row r="46">
      <c r="B46" s="32" t="s">
        <v>98</v>
      </c>
      <c r="C46" s="29"/>
      <c r="D46" s="29"/>
      <c r="E46" s="29"/>
      <c r="F46" s="29"/>
      <c r="G46" s="28" t="s">
        <v>98</v>
      </c>
    </row>
    <row r="47">
      <c r="B47" s="32" t="s">
        <v>97</v>
      </c>
      <c r="C47" s="29"/>
      <c r="D47" s="29"/>
      <c r="E47" s="29"/>
      <c r="F47" s="29"/>
      <c r="G47" s="28" t="s">
        <v>97</v>
      </c>
    </row>
  </sheetData>
  <mergeCells count="15">
    <mergeCell ref="H11:H12"/>
    <mergeCell ref="H13:H14"/>
    <mergeCell ref="H15:H16"/>
    <mergeCell ref="H17:H18"/>
    <mergeCell ref="H19:H20"/>
    <mergeCell ref="H21:H22"/>
    <mergeCell ref="H23:H24"/>
    <mergeCell ref="H25:H26"/>
    <mergeCell ref="H3:H4"/>
    <mergeCell ref="I3:I4"/>
    <mergeCell ref="H5:H6"/>
    <mergeCell ref="I5:I6"/>
    <mergeCell ref="H7:H8"/>
    <mergeCell ref="I7:I8"/>
    <mergeCell ref="H9:H10"/>
  </mergeCells>
  <dataValidations>
    <dataValidation type="list" allowBlank="1" sqref="B3:F7 B11:F15 B18:F23 B26:F31 B34:G39 B42:G47">
      <formula1>m2_fields_items!$A$2:$A$25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</cols>
  <sheetData>
    <row r="1">
      <c r="A1" s="2" t="s">
        <v>2</v>
      </c>
      <c r="B1" s="2" t="s">
        <v>106</v>
      </c>
    </row>
    <row r="2">
      <c r="A2" s="7" t="s">
        <v>94</v>
      </c>
      <c r="B2" s="7" t="s">
        <v>97</v>
      </c>
    </row>
    <row r="3">
      <c r="A3" s="7" t="s">
        <v>96</v>
      </c>
      <c r="B3" s="7" t="s">
        <v>98</v>
      </c>
    </row>
    <row r="4">
      <c r="A4" s="7" t="s">
        <v>105</v>
      </c>
      <c r="B4" s="7" t="s">
        <v>108</v>
      </c>
    </row>
    <row r="5">
      <c r="A5" s="7" t="s">
        <v>101</v>
      </c>
      <c r="B5" s="7" t="s">
        <v>104</v>
      </c>
    </row>
    <row r="6">
      <c r="A6" s="7" t="s">
        <v>109</v>
      </c>
      <c r="B6" s="7" t="s">
        <v>110</v>
      </c>
    </row>
    <row r="7">
      <c r="A7" s="7" t="s">
        <v>95</v>
      </c>
      <c r="B7" s="7" t="s">
        <v>111</v>
      </c>
    </row>
    <row r="8">
      <c r="A8" s="7" t="s">
        <v>100</v>
      </c>
      <c r="B8" s="7" t="s">
        <v>112</v>
      </c>
    </row>
    <row r="9">
      <c r="A9" s="7" t="s">
        <v>103</v>
      </c>
      <c r="B9" s="7" t="s">
        <v>113</v>
      </c>
    </row>
    <row r="10">
      <c r="A10" s="7" t="s">
        <v>107</v>
      </c>
      <c r="B10" s="7" t="s">
        <v>114</v>
      </c>
    </row>
    <row r="11">
      <c r="A11" s="7" t="s">
        <v>115</v>
      </c>
      <c r="B11" s="7" t="s">
        <v>116</v>
      </c>
    </row>
    <row r="12">
      <c r="A12" s="7" t="s">
        <v>117</v>
      </c>
      <c r="B12" s="7" t="s">
        <v>118</v>
      </c>
    </row>
    <row r="13">
      <c r="A13" s="7" t="s">
        <v>119</v>
      </c>
      <c r="B13" s="7" t="s">
        <v>120</v>
      </c>
    </row>
    <row r="14">
      <c r="A14" s="7" t="s">
        <v>97</v>
      </c>
      <c r="B14" s="7" t="s">
        <v>121</v>
      </c>
    </row>
    <row r="15">
      <c r="A15" s="7" t="s">
        <v>98</v>
      </c>
      <c r="B15" s="7" t="s">
        <v>37</v>
      </c>
    </row>
    <row r="16">
      <c r="A16" s="7" t="s">
        <v>108</v>
      </c>
      <c r="B16" s="7" t="s">
        <v>52</v>
      </c>
    </row>
    <row r="17">
      <c r="A17" s="7" t="s">
        <v>104</v>
      </c>
      <c r="B17" s="7" t="s">
        <v>55</v>
      </c>
    </row>
    <row r="18">
      <c r="A18" s="7" t="s">
        <v>110</v>
      </c>
      <c r="B18" s="7" t="s">
        <v>58</v>
      </c>
    </row>
    <row r="19">
      <c r="A19" s="7" t="s">
        <v>111</v>
      </c>
      <c r="B19" s="7" t="s">
        <v>61</v>
      </c>
    </row>
    <row r="20">
      <c r="A20" s="7" t="s">
        <v>112</v>
      </c>
      <c r="B20" s="7" t="s">
        <v>64</v>
      </c>
    </row>
    <row r="21">
      <c r="A21" s="7" t="s">
        <v>113</v>
      </c>
      <c r="B21" s="7" t="s">
        <v>68</v>
      </c>
    </row>
    <row r="22">
      <c r="A22" s="7" t="s">
        <v>114</v>
      </c>
      <c r="B22" s="7" t="s">
        <v>72</v>
      </c>
    </row>
    <row r="23">
      <c r="A23" s="7" t="s">
        <v>116</v>
      </c>
      <c r="B23" s="7" t="s">
        <v>76</v>
      </c>
    </row>
    <row r="24">
      <c r="A24" s="7" t="s">
        <v>118</v>
      </c>
      <c r="B24" s="7" t="s">
        <v>79</v>
      </c>
    </row>
    <row r="25">
      <c r="A25" s="7" t="s">
        <v>120</v>
      </c>
      <c r="B25" s="7" t="s">
        <v>83</v>
      </c>
    </row>
    <row r="38">
      <c r="A38" s="33"/>
      <c r="B38" s="33"/>
      <c r="C38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3.38"/>
  </cols>
  <sheetData>
    <row r="1">
      <c r="A1" s="2" t="s">
        <v>2</v>
      </c>
      <c r="B1" s="2" t="s">
        <v>122</v>
      </c>
      <c r="C1" s="2" t="s">
        <v>123</v>
      </c>
      <c r="D1" s="2" t="s">
        <v>124</v>
      </c>
    </row>
    <row r="2">
      <c r="A2" s="7" t="s">
        <v>121</v>
      </c>
      <c r="B2" s="7">
        <v>1.0</v>
      </c>
      <c r="C2" s="7" t="s">
        <v>125</v>
      </c>
      <c r="D2" s="7" t="s">
        <v>125</v>
      </c>
    </row>
    <row r="3">
      <c r="A3" s="7" t="s">
        <v>37</v>
      </c>
      <c r="B3" s="7">
        <v>2.0</v>
      </c>
      <c r="C3" s="7" t="s">
        <v>126</v>
      </c>
      <c r="D3" s="7" t="s">
        <v>126</v>
      </c>
    </row>
    <row r="4">
      <c r="A4" s="7" t="s">
        <v>52</v>
      </c>
      <c r="B4" s="7">
        <v>3.0</v>
      </c>
      <c r="C4" s="7" t="s">
        <v>127</v>
      </c>
      <c r="D4" s="7" t="s">
        <v>127</v>
      </c>
    </row>
    <row r="5">
      <c r="A5" s="7" t="s">
        <v>55</v>
      </c>
      <c r="B5" s="7">
        <v>4.0</v>
      </c>
      <c r="C5" s="7" t="s">
        <v>128</v>
      </c>
      <c r="D5" s="7" t="s">
        <v>128</v>
      </c>
    </row>
    <row r="6">
      <c r="A6" s="7" t="s">
        <v>58</v>
      </c>
      <c r="B6" s="7">
        <v>5.0</v>
      </c>
      <c r="C6" s="7" t="s">
        <v>129</v>
      </c>
      <c r="D6" s="7" t="s">
        <v>129</v>
      </c>
    </row>
    <row r="7">
      <c r="A7" s="7" t="s">
        <v>61</v>
      </c>
      <c r="B7" s="7">
        <v>6.0</v>
      </c>
      <c r="C7" s="7" t="s">
        <v>130</v>
      </c>
      <c r="D7" s="7" t="s">
        <v>130</v>
      </c>
    </row>
    <row r="8">
      <c r="A8" s="7" t="s">
        <v>64</v>
      </c>
      <c r="B8" s="7">
        <v>7.0</v>
      </c>
      <c r="C8" s="7" t="s">
        <v>131</v>
      </c>
      <c r="D8" s="7" t="s">
        <v>131</v>
      </c>
    </row>
    <row r="9">
      <c r="A9" s="7" t="s">
        <v>68</v>
      </c>
      <c r="B9" s="7">
        <v>8.0</v>
      </c>
      <c r="C9" s="7" t="s">
        <v>132</v>
      </c>
      <c r="D9" s="7" t="s">
        <v>132</v>
      </c>
    </row>
    <row r="10">
      <c r="A10" s="7" t="s">
        <v>72</v>
      </c>
      <c r="B10" s="7">
        <v>9.0</v>
      </c>
      <c r="C10" s="7" t="s">
        <v>133</v>
      </c>
      <c r="D10" s="7" t="s">
        <v>133</v>
      </c>
    </row>
    <row r="11">
      <c r="A11" s="7" t="s">
        <v>76</v>
      </c>
      <c r="B11" s="7">
        <v>10.0</v>
      </c>
      <c r="C11" s="7" t="s">
        <v>134</v>
      </c>
      <c r="D11" s="7" t="s">
        <v>134</v>
      </c>
    </row>
    <row r="12">
      <c r="A12" s="7" t="s">
        <v>79</v>
      </c>
      <c r="B12" s="7">
        <v>11.0</v>
      </c>
      <c r="C12" s="7" t="s">
        <v>135</v>
      </c>
      <c r="D12" s="7" t="s">
        <v>135</v>
      </c>
    </row>
    <row r="13">
      <c r="A13" s="7" t="s">
        <v>83</v>
      </c>
      <c r="B13" s="7">
        <v>12.0</v>
      </c>
      <c r="C13" s="7" t="s">
        <v>136</v>
      </c>
      <c r="D13" s="7" t="s">
        <v>136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14.38"/>
    <col customWidth="1" min="4" max="4" width="15.13"/>
  </cols>
  <sheetData>
    <row r="1">
      <c r="A1" s="2" t="s">
        <v>137</v>
      </c>
      <c r="B1" s="2" t="s">
        <v>138</v>
      </c>
      <c r="C1" s="2" t="s">
        <v>139</v>
      </c>
      <c r="D1" s="2" t="s">
        <v>140</v>
      </c>
      <c r="F1" s="2" t="s">
        <v>141</v>
      </c>
    </row>
    <row r="2">
      <c r="A2" s="7" t="s">
        <v>55</v>
      </c>
      <c r="B2" s="7">
        <v>1.0</v>
      </c>
      <c r="C2" s="7">
        <v>1.0</v>
      </c>
      <c r="D2" s="7">
        <v>2.0</v>
      </c>
      <c r="F2" s="7" t="s">
        <v>142</v>
      </c>
    </row>
    <row r="3">
      <c r="A3" s="7" t="s">
        <v>58</v>
      </c>
      <c r="B3" s="7">
        <v>1.0</v>
      </c>
      <c r="C3" s="7">
        <v>1.0</v>
      </c>
      <c r="D3" s="7">
        <v>3.0</v>
      </c>
      <c r="F3" s="7" t="s">
        <v>143</v>
      </c>
      <c r="G3" s="7">
        <v>449.0</v>
      </c>
    </row>
    <row r="4">
      <c r="A4" s="7" t="s">
        <v>61</v>
      </c>
      <c r="B4" s="7">
        <v>1.0</v>
      </c>
      <c r="C4" s="7">
        <v>1.0</v>
      </c>
      <c r="D4" s="7">
        <v>5.0</v>
      </c>
      <c r="F4" s="7" t="s">
        <v>144</v>
      </c>
    </row>
    <row r="5">
      <c r="A5" s="7" t="s">
        <v>64</v>
      </c>
      <c r="B5" s="7">
        <v>1.0</v>
      </c>
      <c r="C5" s="7">
        <v>1.0</v>
      </c>
      <c r="D5" s="7">
        <v>10.0</v>
      </c>
    </row>
    <row r="6">
      <c r="A6" s="7" t="s">
        <v>68</v>
      </c>
      <c r="B6" s="7">
        <v>1.0</v>
      </c>
      <c r="C6" s="7">
        <v>2.0</v>
      </c>
      <c r="D6" s="7">
        <v>15.0</v>
      </c>
    </row>
    <row r="7">
      <c r="A7" s="7" t="s">
        <v>72</v>
      </c>
      <c r="B7" s="7">
        <v>1.0</v>
      </c>
      <c r="C7" s="7">
        <v>2.0</v>
      </c>
      <c r="D7" s="7">
        <v>25.0</v>
      </c>
    </row>
    <row r="8">
      <c r="A8" s="7" t="s">
        <v>76</v>
      </c>
      <c r="B8" s="7">
        <v>1.0</v>
      </c>
      <c r="C8" s="7">
        <v>2.0</v>
      </c>
      <c r="D8" s="7">
        <v>40.0</v>
      </c>
    </row>
    <row r="9">
      <c r="A9" s="7" t="s">
        <v>79</v>
      </c>
      <c r="B9" s="7">
        <v>1.0</v>
      </c>
      <c r="C9" s="7">
        <v>5.0</v>
      </c>
      <c r="D9" s="7">
        <v>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0"/>
    <col customWidth="1" min="4" max="4" width="12.25"/>
    <col customWidth="1" min="5" max="5" width="6.13"/>
    <col customWidth="1" min="6" max="6" width="15.0"/>
    <col customWidth="1" min="7" max="7" width="6.13"/>
    <col customWidth="1" min="8" max="8" width="15.0"/>
    <col customWidth="1" min="9" max="9" width="6.13"/>
    <col customWidth="1" min="10" max="10" width="16.0"/>
    <col customWidth="1" min="11" max="11" width="6.13"/>
    <col customWidth="1" min="12" max="12" width="15.0"/>
    <col customWidth="1" min="13" max="13" width="6.13"/>
  </cols>
  <sheetData>
    <row r="1">
      <c r="A1" s="2" t="s">
        <v>145</v>
      </c>
      <c r="B1" s="2" t="s">
        <v>146</v>
      </c>
      <c r="C1" s="2" t="s">
        <v>147</v>
      </c>
      <c r="D1" s="2" t="s">
        <v>148</v>
      </c>
      <c r="F1" s="11" t="s">
        <v>80</v>
      </c>
    </row>
    <row r="2">
      <c r="A2" s="7" t="s">
        <v>149</v>
      </c>
      <c r="B2" s="7" t="s">
        <v>150</v>
      </c>
      <c r="C2" s="7" t="s">
        <v>151</v>
      </c>
      <c r="D2" s="7" t="s">
        <v>80</v>
      </c>
      <c r="F2" s="11" t="s">
        <v>85</v>
      </c>
    </row>
    <row r="3">
      <c r="A3" s="7" t="s">
        <v>152</v>
      </c>
      <c r="B3" s="7" t="s">
        <v>153</v>
      </c>
      <c r="C3" s="7" t="s">
        <v>154</v>
      </c>
      <c r="F3" s="11" t="s">
        <v>65</v>
      </c>
    </row>
    <row r="4">
      <c r="A4" s="7" t="s">
        <v>155</v>
      </c>
      <c r="B4" s="7" t="s">
        <v>156</v>
      </c>
      <c r="C4" s="7" t="s">
        <v>157</v>
      </c>
      <c r="F4" s="11" t="s">
        <v>73</v>
      </c>
    </row>
    <row r="5">
      <c r="A5" s="7" t="s">
        <v>158</v>
      </c>
      <c r="B5" s="7" t="s">
        <v>159</v>
      </c>
      <c r="C5" s="7" t="s">
        <v>160</v>
      </c>
      <c r="F5" s="11" t="s">
        <v>69</v>
      </c>
    </row>
    <row r="6">
      <c r="C6" s="7" t="s">
        <v>161</v>
      </c>
      <c r="F6" s="11" t="s">
        <v>84</v>
      </c>
    </row>
    <row r="7" ht="18.0" customHeight="1"/>
    <row r="8">
      <c r="A8" s="34" t="s">
        <v>162</v>
      </c>
      <c r="B8" s="35" t="s">
        <v>163</v>
      </c>
      <c r="C8" s="35" t="s">
        <v>165</v>
      </c>
      <c r="D8" s="35" t="s">
        <v>167</v>
      </c>
      <c r="E8" s="35" t="s">
        <v>165</v>
      </c>
      <c r="F8" s="35" t="s">
        <v>169</v>
      </c>
      <c r="G8" s="35" t="s">
        <v>165</v>
      </c>
      <c r="H8" s="35" t="s">
        <v>171</v>
      </c>
      <c r="I8" s="35" t="s">
        <v>165</v>
      </c>
      <c r="J8" s="35" t="s">
        <v>172</v>
      </c>
      <c r="K8" s="35" t="s">
        <v>165</v>
      </c>
      <c r="L8" s="35" t="s">
        <v>173</v>
      </c>
      <c r="M8" s="36" t="s">
        <v>165</v>
      </c>
    </row>
    <row r="9">
      <c r="A9" s="37">
        <v>7.0</v>
      </c>
      <c r="B9" s="16" t="s">
        <v>149</v>
      </c>
      <c r="C9" s="16">
        <v>1.0</v>
      </c>
      <c r="D9" s="17"/>
      <c r="E9" s="17"/>
      <c r="F9" s="17"/>
      <c r="G9" s="17"/>
      <c r="H9" s="17"/>
      <c r="I9" s="17"/>
      <c r="J9" s="17"/>
      <c r="K9" s="17"/>
      <c r="L9" s="17"/>
      <c r="M9" s="38"/>
    </row>
    <row r="10">
      <c r="A10" s="37">
        <v>8.0</v>
      </c>
      <c r="B10" s="16" t="s">
        <v>150</v>
      </c>
      <c r="C10" s="16">
        <v>1.0</v>
      </c>
      <c r="D10" s="17"/>
      <c r="E10" s="17"/>
      <c r="F10" s="17"/>
      <c r="G10" s="17"/>
      <c r="H10" s="17"/>
      <c r="I10" s="17"/>
      <c r="J10" s="17"/>
      <c r="K10" s="17"/>
      <c r="L10" s="17"/>
      <c r="M10" s="38"/>
    </row>
    <row r="11">
      <c r="A11" s="37">
        <v>9.0</v>
      </c>
      <c r="B11" s="16" t="s">
        <v>151</v>
      </c>
      <c r="C11" s="16">
        <v>1.0</v>
      </c>
      <c r="D11" s="16" t="s">
        <v>152</v>
      </c>
      <c r="E11" s="16">
        <v>1.0</v>
      </c>
      <c r="F11" s="17"/>
      <c r="G11" s="17"/>
      <c r="H11" s="17"/>
      <c r="I11" s="17"/>
      <c r="J11" s="17"/>
      <c r="K11" s="17"/>
      <c r="L11" s="17"/>
      <c r="M11" s="38"/>
    </row>
    <row r="12">
      <c r="A12" s="37">
        <v>10.0</v>
      </c>
      <c r="B12" s="16" t="s">
        <v>154</v>
      </c>
      <c r="C12" s="16">
        <v>1.0</v>
      </c>
      <c r="D12" s="16" t="s">
        <v>153</v>
      </c>
      <c r="E12" s="16">
        <v>1.0</v>
      </c>
      <c r="F12" s="16" t="s">
        <v>156</v>
      </c>
      <c r="G12" s="16">
        <v>1.0</v>
      </c>
      <c r="H12" s="17"/>
      <c r="I12" s="17"/>
      <c r="J12" s="17"/>
      <c r="K12" s="17"/>
      <c r="L12" s="17"/>
      <c r="M12" s="38"/>
    </row>
    <row r="13">
      <c r="A13" s="37">
        <v>11.0</v>
      </c>
      <c r="B13" s="16" t="s">
        <v>157</v>
      </c>
      <c r="C13" s="16">
        <v>1.0</v>
      </c>
      <c r="D13" s="16" t="s">
        <v>80</v>
      </c>
      <c r="E13" s="16">
        <v>250.0</v>
      </c>
      <c r="F13" s="16" t="s">
        <v>158</v>
      </c>
      <c r="G13" s="16">
        <v>1.0</v>
      </c>
      <c r="H13" s="16" t="s">
        <v>159</v>
      </c>
      <c r="I13" s="16">
        <v>1.0</v>
      </c>
      <c r="J13" s="17"/>
      <c r="K13" s="17"/>
      <c r="L13" s="17"/>
      <c r="M13" s="38"/>
    </row>
    <row r="14">
      <c r="A14" s="41">
        <v>12.0</v>
      </c>
      <c r="B14" s="42" t="s">
        <v>161</v>
      </c>
      <c r="C14" s="42">
        <v>1.0</v>
      </c>
      <c r="D14" s="42" t="s">
        <v>80</v>
      </c>
      <c r="E14" s="42">
        <v>500.0</v>
      </c>
      <c r="F14" s="42" t="s">
        <v>149</v>
      </c>
      <c r="G14" s="42">
        <v>1.0</v>
      </c>
      <c r="H14" s="42" t="s">
        <v>152</v>
      </c>
      <c r="I14" s="42">
        <v>1.0</v>
      </c>
      <c r="J14" s="42" t="s">
        <v>150</v>
      </c>
      <c r="K14" s="42">
        <v>1.0</v>
      </c>
      <c r="L14" s="42" t="s">
        <v>159</v>
      </c>
      <c r="M14" s="43">
        <v>1.0</v>
      </c>
    </row>
    <row r="17">
      <c r="A17" s="34" t="s">
        <v>179</v>
      </c>
      <c r="B17" s="35" t="s">
        <v>17</v>
      </c>
      <c r="C17" s="35" t="s">
        <v>18</v>
      </c>
      <c r="D17" s="35" t="s">
        <v>19</v>
      </c>
      <c r="E17" s="35" t="s">
        <v>21</v>
      </c>
      <c r="F17" s="35" t="s">
        <v>24</v>
      </c>
      <c r="G17" s="35" t="s">
        <v>25</v>
      </c>
      <c r="H17" s="35" t="s">
        <v>27</v>
      </c>
      <c r="I17" s="35" t="s">
        <v>29</v>
      </c>
      <c r="J17" s="35" t="s">
        <v>30</v>
      </c>
      <c r="K17" s="35" t="s">
        <v>31</v>
      </c>
      <c r="L17" s="35" t="s">
        <v>32</v>
      </c>
      <c r="M17" s="36" t="s">
        <v>33</v>
      </c>
    </row>
    <row r="18">
      <c r="A18" s="37">
        <v>7.0</v>
      </c>
      <c r="B18" s="16" t="s">
        <v>65</v>
      </c>
      <c r="C18" s="16">
        <v>1.0</v>
      </c>
      <c r="D18" s="17"/>
      <c r="E18" s="17"/>
      <c r="F18" s="17"/>
      <c r="G18" s="17"/>
      <c r="H18" s="17"/>
      <c r="I18" s="17"/>
      <c r="J18" s="17"/>
      <c r="K18" s="17"/>
      <c r="L18" s="17"/>
      <c r="M18" s="38"/>
    </row>
    <row r="19">
      <c r="A19" s="37">
        <v>8.0</v>
      </c>
      <c r="B19" s="16" t="s">
        <v>69</v>
      </c>
      <c r="C19" s="16">
        <v>1.0</v>
      </c>
      <c r="D19" s="17"/>
      <c r="E19" s="17"/>
      <c r="F19" s="17"/>
      <c r="G19" s="17"/>
      <c r="H19" s="17"/>
      <c r="I19" s="17"/>
      <c r="J19" s="17"/>
      <c r="K19" s="17"/>
      <c r="L19" s="17"/>
      <c r="M19" s="38"/>
    </row>
    <row r="20">
      <c r="A20" s="37">
        <v>9.0</v>
      </c>
      <c r="B20" s="16" t="s">
        <v>73</v>
      </c>
      <c r="C20" s="16">
        <v>1.0</v>
      </c>
      <c r="D20" s="17"/>
      <c r="E20" s="17"/>
      <c r="F20" s="17"/>
      <c r="G20" s="17"/>
      <c r="H20" s="17"/>
      <c r="I20" s="17"/>
      <c r="J20" s="17"/>
      <c r="K20" s="17"/>
      <c r="M20" s="44"/>
    </row>
    <row r="21">
      <c r="A21" s="37">
        <v>10.0</v>
      </c>
      <c r="B21" s="16" t="s">
        <v>65</v>
      </c>
      <c r="C21" s="16">
        <v>1.0</v>
      </c>
      <c r="D21" s="16" t="s">
        <v>73</v>
      </c>
      <c r="E21" s="16">
        <v>1.0</v>
      </c>
      <c r="F21" s="17"/>
      <c r="G21" s="17"/>
      <c r="H21" s="17"/>
      <c r="I21" s="17"/>
      <c r="J21" s="17"/>
      <c r="K21" s="17"/>
      <c r="M21" s="44"/>
    </row>
    <row r="22">
      <c r="A22" s="37">
        <v>11.0</v>
      </c>
      <c r="B22" s="16" t="s">
        <v>80</v>
      </c>
      <c r="C22" s="16">
        <v>250.0</v>
      </c>
      <c r="D22" s="16" t="s">
        <v>69</v>
      </c>
      <c r="E22" s="16">
        <v>1.0</v>
      </c>
      <c r="F22" s="16" t="s">
        <v>65</v>
      </c>
      <c r="G22" s="16">
        <v>1.0</v>
      </c>
      <c r="H22" s="17"/>
      <c r="I22" s="17"/>
      <c r="J22" s="17"/>
      <c r="K22" s="17"/>
      <c r="M22" s="44"/>
    </row>
    <row r="23">
      <c r="A23" s="41">
        <v>12.0</v>
      </c>
      <c r="B23" s="42" t="s">
        <v>80</v>
      </c>
      <c r="C23" s="42">
        <v>500.0</v>
      </c>
      <c r="D23" s="42" t="s">
        <v>65</v>
      </c>
      <c r="E23" s="42">
        <v>1.0</v>
      </c>
      <c r="F23" s="42" t="s">
        <v>73</v>
      </c>
      <c r="G23" s="42">
        <v>1.0</v>
      </c>
      <c r="H23" s="42" t="s">
        <v>69</v>
      </c>
      <c r="I23" s="42">
        <v>1.0</v>
      </c>
      <c r="J23" s="42" t="s">
        <v>84</v>
      </c>
      <c r="K23" s="42">
        <v>1.0</v>
      </c>
      <c r="L23" s="45" t="s">
        <v>85</v>
      </c>
      <c r="M23" s="46">
        <v>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164</v>
      </c>
      <c r="J1" s="7" t="s">
        <v>166</v>
      </c>
      <c r="K1" s="7" t="s">
        <v>168</v>
      </c>
    </row>
    <row r="2">
      <c r="A2" s="7" t="s">
        <v>170</v>
      </c>
      <c r="B2" s="7">
        <v>433.0</v>
      </c>
      <c r="I2" s="7" t="s">
        <v>121</v>
      </c>
      <c r="J2" s="7">
        <v>57.0</v>
      </c>
      <c r="K2" s="13">
        <f>J2</f>
        <v>57</v>
      </c>
    </row>
    <row r="3">
      <c r="A3" s="7" t="s">
        <v>174</v>
      </c>
      <c r="B3" s="7">
        <v>15.0</v>
      </c>
      <c r="C3" s="7">
        <v>150.0</v>
      </c>
      <c r="I3" s="7" t="s">
        <v>37</v>
      </c>
      <c r="J3" s="7">
        <v>30.0</v>
      </c>
      <c r="K3" s="13">
        <f>J3*2</f>
        <v>60</v>
      </c>
    </row>
    <row r="4">
      <c r="A4" s="7" t="s">
        <v>175</v>
      </c>
      <c r="B4" s="7">
        <v>94.0</v>
      </c>
      <c r="I4" s="7" t="s">
        <v>52</v>
      </c>
      <c r="J4" s="7">
        <v>1.0</v>
      </c>
      <c r="K4" s="13">
        <f>J4*2*2</f>
        <v>4</v>
      </c>
    </row>
    <row r="5">
      <c r="A5" s="39" t="s">
        <v>176</v>
      </c>
      <c r="B5" s="40">
        <f>B2+B3-B4</f>
        <v>354</v>
      </c>
      <c r="C5" s="7" t="s">
        <v>177</v>
      </c>
      <c r="D5" s="13">
        <f>354/3</f>
        <v>118</v>
      </c>
      <c r="I5" s="7" t="s">
        <v>55</v>
      </c>
      <c r="J5" s="7">
        <v>15.0</v>
      </c>
      <c r="K5" s="13">
        <f>J5*2*2*2</f>
        <v>120</v>
      </c>
    </row>
    <row r="6">
      <c r="I6" s="7" t="s">
        <v>58</v>
      </c>
    </row>
    <row r="7">
      <c r="C7" s="7" t="s">
        <v>178</v>
      </c>
      <c r="I7" s="7" t="s">
        <v>61</v>
      </c>
      <c r="J7" s="7">
        <v>10.0</v>
      </c>
      <c r="K7" s="13">
        <f>J7*2*2*2*2*2</f>
        <v>320</v>
      </c>
    </row>
    <row r="8">
      <c r="C8" s="7">
        <v>2.0</v>
      </c>
      <c r="D8" s="7" t="s">
        <v>180</v>
      </c>
      <c r="E8" s="7" t="s">
        <v>181</v>
      </c>
      <c r="I8" s="7" t="s">
        <v>64</v>
      </c>
      <c r="J8" s="7">
        <v>4.0</v>
      </c>
      <c r="K8" s="13">
        <f>J8*2*2*2*2*2*2</f>
        <v>256</v>
      </c>
    </row>
    <row r="9">
      <c r="C9" s="13">
        <f t="shared" ref="C9:C18" si="1">C8*2</f>
        <v>4</v>
      </c>
      <c r="D9" s="7" t="s">
        <v>180</v>
      </c>
      <c r="E9" s="7" t="s">
        <v>182</v>
      </c>
      <c r="I9" s="7" t="s">
        <v>68</v>
      </c>
      <c r="J9" s="7">
        <v>5.0</v>
      </c>
      <c r="K9" s="13">
        <f t="shared" ref="K9:K10" si="2">J9*2*2*2*2*2*2*2</f>
        <v>640</v>
      </c>
    </row>
    <row r="10">
      <c r="C10" s="13">
        <f t="shared" si="1"/>
        <v>8</v>
      </c>
      <c r="D10" s="7" t="s">
        <v>180</v>
      </c>
      <c r="E10" s="7" t="s">
        <v>183</v>
      </c>
      <c r="I10" s="7" t="s">
        <v>72</v>
      </c>
      <c r="J10" s="7">
        <v>1.0</v>
      </c>
      <c r="K10" s="13">
        <f t="shared" si="2"/>
        <v>128</v>
      </c>
    </row>
    <row r="11">
      <c r="C11" s="13">
        <f t="shared" si="1"/>
        <v>16</v>
      </c>
      <c r="D11" s="7" t="s">
        <v>180</v>
      </c>
      <c r="E11" s="7" t="s">
        <v>184</v>
      </c>
      <c r="I11" s="7" t="s">
        <v>76</v>
      </c>
    </row>
    <row r="12">
      <c r="C12" s="13">
        <f t="shared" si="1"/>
        <v>32</v>
      </c>
      <c r="D12" s="7" t="s">
        <v>180</v>
      </c>
      <c r="E12" s="7" t="s">
        <v>185</v>
      </c>
      <c r="I12" s="7" t="s">
        <v>79</v>
      </c>
    </row>
    <row r="13">
      <c r="C13" s="13">
        <f t="shared" si="1"/>
        <v>64</v>
      </c>
      <c r="D13" s="7" t="s">
        <v>180</v>
      </c>
      <c r="E13" s="7" t="s">
        <v>186</v>
      </c>
      <c r="K13" s="13">
        <f>SUM(K2:K11)</f>
        <v>1585</v>
      </c>
    </row>
    <row r="14">
      <c r="C14" s="13">
        <f t="shared" si="1"/>
        <v>128</v>
      </c>
      <c r="D14" s="7" t="s">
        <v>180</v>
      </c>
      <c r="E14" s="7" t="s">
        <v>187</v>
      </c>
    </row>
    <row r="15">
      <c r="C15" s="13">
        <f t="shared" si="1"/>
        <v>256</v>
      </c>
      <c r="D15" s="7" t="s">
        <v>180</v>
      </c>
      <c r="E15" s="7" t="s">
        <v>188</v>
      </c>
      <c r="K15" s="7">
        <f>2048-K13-354-2*K4-16-15</f>
        <v>70</v>
      </c>
    </row>
    <row r="16">
      <c r="C16" s="13">
        <f t="shared" si="1"/>
        <v>512</v>
      </c>
      <c r="D16" s="7" t="s">
        <v>180</v>
      </c>
      <c r="E16" s="7" t="s">
        <v>189</v>
      </c>
    </row>
    <row r="17">
      <c r="C17" s="13">
        <f t="shared" si="1"/>
        <v>1024</v>
      </c>
      <c r="D17" s="7" t="s">
        <v>180</v>
      </c>
      <c r="E17" s="7" t="s">
        <v>190</v>
      </c>
    </row>
    <row r="18">
      <c r="C18" s="13">
        <f t="shared" si="1"/>
        <v>2048</v>
      </c>
      <c r="D18" s="7" t="s">
        <v>180</v>
      </c>
      <c r="E18" s="7" t="s">
        <v>191</v>
      </c>
    </row>
  </sheetData>
  <drawing r:id="rId1"/>
</worksheet>
</file>